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nalog-my.sharepoint.com/personal/dharmik_gogineni_analog_com/Documents/Documents/latency xls/"/>
    </mc:Choice>
  </mc:AlternateContent>
  <xr:revisionPtr revIDLastSave="7" documentId="13_ncr:1_{B52B2A17-7E45-45A3-9C4A-DD91E52DBF61}" xr6:coauthVersionLast="47" xr6:coauthVersionMax="47" xr10:uidLastSave="{13CE9A2B-5AD7-4399-847D-05DC8D0A78F9}"/>
  <workbookProtection workbookAlgorithmName="SHA-512" workbookHashValue="PB9kkyjwvTT4N/7NjM0v6vApbJfi5Lj3kmLlA/2PZnOxT6+p+JMKwEx9+bo4yhocS+eX+x0IrD9ZifNuUr3NYg==" workbookSaltValue="V5R7WbLyD8mr16kMxMEn0g==" workbookSpinCount="100000" lockStructure="1"/>
  <bookViews>
    <workbookView xWindow="-110" yWindow="-110" windowWidth="19420" windowHeight="10420" xr2:uid="{7DA998BF-ABE8-42A0-A577-B9ABE21C554E}"/>
  </bookViews>
  <sheets>
    <sheet name="Calculator" sheetId="8" r:id="rId1"/>
    <sheet name="inline_constants" sheetId="11" r:id="rId2"/>
    <sheet name="Sheet2" sheetId="10" state="hidden" r:id="rId3"/>
    <sheet name="Sheet1" sheetId="1" state="hidden" r:id="rId4"/>
    <sheet name="DDC_NS" sheetId="7" state="hidden" r:id="rId5"/>
    <sheet name="bmem" sheetId="6" state="hidden" r:id="rId6"/>
    <sheet name="ddc_selection" sheetId="2" state="hidden" r:id="rId7"/>
    <sheet name="pfilt" sheetId="3" state="hidden" r:id="rId8"/>
    <sheet name="fsrc_gated" sheetId="4" state="hidden" r:id="rId9"/>
    <sheet name="JESD Mode LUT" sheetId="9" state="hidden" r:id="rId10"/>
  </sheets>
  <definedNames>
    <definedName name="_xlnm._FilterDatabase" localSheetId="6" hidden="1">ddc_selection!$A$1:$N$1</definedName>
    <definedName name="_xlnm._FilterDatabase" localSheetId="3" hidden="1">Sheet1!$A$1:$BI$2</definedName>
    <definedName name="bmem_ddc_duc_coeff_100">inline_constants!$B$112</definedName>
    <definedName name="bmem_ddc_duc_coeff_1E4">inline_constants!$B$110</definedName>
    <definedName name="bmem_ddc_duc_coeff_2">inline_constants!$B$111</definedName>
    <definedName name="fsrc_dec_calc_2_to_48">inline_constants!$B$106</definedName>
    <definedName name="fsrc_key_gen_coeff_10">inline_constants!$B$108</definedName>
    <definedName name="OLE_LINK135" localSheetId="9">'JESD Mode LUT'!$A$1</definedName>
    <definedName name="pfilt_delay_4t4r_disabled">inline_constants!$B$19</definedName>
    <definedName name="pfilt_delay_8t8r_disabled">inline_constants!$B$21</definedName>
    <definedName name="rx_active_sample_4t4r_coeff">inline_constants!$B$95</definedName>
    <definedName name="rx_active_sample_8t8r_coeff">inline_constants!$B$96</definedName>
    <definedName name="rx_active_sample_cdec_mod_12">inline_constants!$B$92</definedName>
    <definedName name="rx_active_sample_cdec_mod_coeff_2">inline_constants!$B$93</definedName>
    <definedName name="rx_active_sample_cdec_mod_coeff_4">inline_constants!$B$94</definedName>
    <definedName name="rx_active_sample_greater_than_dec">inline_constants!$B$99</definedName>
    <definedName name="rx_active_sample_key_gen_add_1">inline_constants!$B$104</definedName>
    <definedName name="rx_active_sample_key_gen_coeff_100">inline_constants!$B$103</definedName>
    <definedName name="rx_active_sample_key_gen_coeff_1E4">inline_constants!$B$101</definedName>
    <definedName name="rx_active_sample_key_gen_coeff_2">inline_constants!$B$102</definedName>
    <definedName name="rx_active_sample_ls_dis_coeff">inline_constants!$B$98</definedName>
    <definedName name="rx_active_sample_ls_en_cdec_mod_2">inline_constants!$B$91</definedName>
    <definedName name="rx_active_sample_ls_en_coeff">inline_constants!$B$97</definedName>
    <definedName name="rx_active_sample_ls_en_sub">inline_constants!$B$90</definedName>
    <definedName name="rx_adc_delay_4t4r_rand_max">inline_constants!$B$7</definedName>
    <definedName name="rx_adc_delay_4t4r_rand_min">inline_constants!$B$2</definedName>
    <definedName name="rx_adc_delay_4t4r_seq_max">inline_constants!$B$8</definedName>
    <definedName name="rx_adc_delay_4t4r_seq_min">inline_constants!$B$3</definedName>
    <definedName name="rx_adc_delay_8t8r_rand_max">inline_constants!$B$9</definedName>
    <definedName name="rx_adc_delay_8t8r_rand_min">inline_constants!$B$4</definedName>
    <definedName name="rx_adc_delay_8t8r_seq_max">inline_constants!$B$10</definedName>
    <definedName name="rx_adc_delay_8t8r_seq_min">inline_constants!$B$5</definedName>
    <definedName name="rx_ddc_ns_coeff_1">inline_constants!$B$79</definedName>
    <definedName name="rx_ddc_ns_limit_16_coeff">inline_constants!$B$74</definedName>
    <definedName name="rx_ddc_ns_limit_32_4t4r_coeff">inline_constants!$B$73</definedName>
    <definedName name="rx_ddc_ns_limit_8_coeff">inline_constants!$B$75</definedName>
    <definedName name="rx_ddc_ns_link_ddc_limit_16">inline_constants!$B$71</definedName>
    <definedName name="rx_ddc_ns_link_ddc_limit_32">inline_constants!$B$70</definedName>
    <definedName name="rx_ddc_ns_link_ddc_limit_8">inline_constants!$B$72</definedName>
    <definedName name="rx_ddc_ns_ls_en_default_coeff">inline_constants!$B$78</definedName>
    <definedName name="rx_ddc_ns_ls_en_link_ddc_1">inline_constants!$B$76</definedName>
    <definedName name="rx_ddc_ns_ls_en_link_ddc_3">inline_constants!$B$77</definedName>
    <definedName name="rx_dformat_coeff">inline_constants!$B$50</definedName>
    <definedName name="rx_fine_dly_variation_coeff">inline_constants!$B$29</definedName>
    <definedName name="rx_fine_o_cfir_fine_dis">inline_constants!$B$31</definedName>
    <definedName name="rx_fine_o_cfir_in_coeff">inline_constants!$B$30</definedName>
    <definedName name="rx_fsrc_fifo_coeff">inline_constants!$B$37</definedName>
    <definedName name="rx_fsrc_fifo_var_coeff">inline_constants!$B$38</definedName>
    <definedName name="rx_fsrc_ungated_add">inline_constants!$B$34</definedName>
    <definedName name="rx_fsrc_ungated_coeff">inline_constants!$B$33</definedName>
    <definedName name="rx_fsrc_ungated_var_coeff">inline_constants!$B$35</definedName>
    <definedName name="rx_hsdin_delay_4t4r_disabled">inline_constants!$B$14</definedName>
    <definedName name="rx_hsdin_delay_4t4r_enabled">inline_constants!$B$12</definedName>
    <definedName name="rx_hsdin_delay_8t8r_disabled">inline_constants!$B$15</definedName>
    <definedName name="rx_hsdin_delay_8t8r_enabled">inline_constants!$B$13</definedName>
    <definedName name="rx_hsdin_o_lnrx_i_fifo_delay_4t4r">inline_constants!$B$16</definedName>
    <definedName name="rx_hsdin_o_lnrx_i_fifo_delay_8t8r">inline_constants!$B$17</definedName>
    <definedName name="rx_jtx_async_default_add">inline_constants!$B$67</definedName>
    <definedName name="rx_jtx_async_ratio_p75_or_1p5_add">inline_constants!$B$68</definedName>
    <definedName name="rx_jtx_ns_4t4r">inline_constants!$B$84</definedName>
    <definedName name="rx_jtx_ns_8t8r">inline_constants!$B$85</definedName>
    <definedName name="rx_jtx_ns_mod">inline_constants!$B$83</definedName>
    <definedName name="rx_jtx_ratio_1">inline_constants!$B$60</definedName>
    <definedName name="rx_jtx_ratio_1_add">inline_constants!$B$64</definedName>
    <definedName name="rx_jtx_ratio_1p5">inline_constants!$B$63</definedName>
    <definedName name="rx_jtx_ratio_default_sub">inline_constants!$B$65</definedName>
    <definedName name="rx_jtx_ratio_p5">inline_constants!$B$61</definedName>
    <definedName name="rx_jtx_ratio_p5_dly">inline_constants!$B$66</definedName>
    <definedName name="rx_jtx_ratio_p75">inline_constants!$B$62</definedName>
    <definedName name="rx_jtx_wrapper_ratio_1">inline_constants!$B$52</definedName>
    <definedName name="rx_jtx_wrapper_ratio_1_dly">inline_constants!$B$55</definedName>
    <definedName name="rx_jtx_wrapper_ratio_2">inline_constants!$B$53</definedName>
    <definedName name="rx_jtx_wrapper_ratio_2_dly">inline_constants!$B$56</definedName>
    <definedName name="rx_jtx_wrapper_ratio_default_dly">inline_constants!$B$58</definedName>
    <definedName name="rx_jtx_wrapper_ratio_p75">inline_constants!$B$54</definedName>
    <definedName name="rx_jtx_wrapper_ratio_p75_dly">inline_constants!$B$57</definedName>
    <definedName name="rx_lnrx_delay_4t4r_enabled">inline_constants!$B$24</definedName>
    <definedName name="rx_lnrx_delay_8t8r_enabled">inline_constants!$B$25</definedName>
    <definedName name="rx_lnrx_o_pfilt_I_delay_4t4r">inline_constants!$B$26</definedName>
    <definedName name="rx_lnrx_o_pfilt_I_delay_8t8r">inline_constants!$B$27</definedName>
    <definedName name="rx_ns_add_fine_dis">inline_constants!$B$43</definedName>
    <definedName name="rx_ns_add_fine_en">inline_constants!$B$44</definedName>
    <definedName name="rx_ns_conv_ns_fsrc_en">inline_constants!$B$81</definedName>
    <definedName name="rx_ns_fsrc_dis_coeff">inline_constants!$B$45</definedName>
    <definedName name="rx_pclk_jesd_b_coeff">inline_constants!$B$87</definedName>
    <definedName name="rx_pclk_jesd_c_coeff">inline_constants!$B$88</definedName>
    <definedName name="rx_pfilt_o_fine_in_delay_4t4r">inline_constants!$B$20</definedName>
    <definedName name="rx_pfilt_o_fine_in_delay_8t8r">inline_constants!$B$22</definedName>
    <definedName name="rx_rm_fifo_max_coeff">inline_constants!$B$48</definedName>
    <definedName name="rx_rm_fifo_min_coeff">inline_constants!$B$47</definedName>
    <definedName name="rx_upsampler_add">inline_constants!$B$40</definedName>
    <definedName name="rx_upsampler_coeff">inline_constants!$B$41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8" l="1"/>
  <c r="D2" i="11"/>
  <c r="D38" i="8" l="1"/>
  <c r="D37" i="8"/>
  <c r="D36" i="8"/>
  <c r="D35" i="8"/>
  <c r="F28" i="8"/>
  <c r="L26" i="8"/>
  <c r="K26" i="8"/>
  <c r="F25" i="8"/>
  <c r="I19" i="8" s="1"/>
  <c r="F24" i="8"/>
  <c r="F23" i="8"/>
  <c r="L22" i="8"/>
  <c r="K22" i="8"/>
  <c r="D22" i="8"/>
  <c r="F21" i="8"/>
  <c r="D13" i="8"/>
  <c r="F13" i="8" s="1"/>
  <c r="I13" i="8"/>
  <c r="D14" i="8"/>
  <c r="F14" i="8"/>
  <c r="I14" i="8"/>
  <c r="K14" i="8"/>
  <c r="F15" i="8"/>
  <c r="I15" i="8"/>
  <c r="K15" i="8"/>
  <c r="F16" i="8"/>
  <c r="K16" i="8"/>
  <c r="D17" i="8"/>
  <c r="F18" i="8"/>
  <c r="I18" i="8"/>
  <c r="K18" i="8"/>
  <c r="D19" i="8"/>
  <c r="F19" i="8"/>
  <c r="K19" i="8"/>
  <c r="I21" i="8"/>
  <c r="K21" i="8"/>
  <c r="L21" i="8"/>
  <c r="M21" i="8" s="1"/>
  <c r="M30" i="8" s="1"/>
  <c r="M31" i="8" s="1"/>
  <c r="F22" i="8"/>
  <c r="I22" i="8"/>
  <c r="K23" i="8"/>
  <c r="L23" i="8"/>
  <c r="M23" i="8"/>
  <c r="M35" i="8" s="1"/>
  <c r="M36" i="8" s="1"/>
  <c r="K25" i="8"/>
  <c r="L25" i="8"/>
  <c r="M25" i="8" s="1"/>
  <c r="F26" i="8"/>
  <c r="L27" i="8"/>
  <c r="M27" i="8"/>
  <c r="F29" i="8"/>
  <c r="F30" i="8"/>
  <c r="F31" i="8"/>
  <c r="D32" i="8"/>
  <c r="D34" i="8" s="1"/>
  <c r="F33" i="8"/>
  <c r="L35" i="8"/>
  <c r="L36" i="8" s="1"/>
  <c r="I16" i="8"/>
  <c r="F34" i="8" l="1"/>
  <c r="F35" i="8"/>
  <c r="F27" i="8"/>
  <c r="L30" i="8"/>
  <c r="L31" i="8" s="1"/>
  <c r="L28" i="8"/>
  <c r="M28" i="8" s="1"/>
  <c r="M26" i="8"/>
  <c r="L24" i="8"/>
  <c r="D23" i="8"/>
  <c r="K13" i="8"/>
  <c r="D20" i="8"/>
  <c r="F36" i="8"/>
  <c r="D26" i="8"/>
  <c r="K24" i="8"/>
  <c r="K28" i="8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2" i="2"/>
  <c r="K37" i="8" l="1"/>
  <c r="K38" i="8" s="1"/>
  <c r="K30" i="8"/>
  <c r="K31" i="8" s="1"/>
  <c r="K35" i="8"/>
  <c r="K33" i="8"/>
  <c r="K34" i="8" s="1"/>
  <c r="F40" i="8"/>
  <c r="F37" i="8"/>
  <c r="K27" i="8"/>
  <c r="D24" i="8"/>
  <c r="L37" i="8"/>
  <c r="L38" i="8" s="1"/>
  <c r="M24" i="8"/>
  <c r="M37" i="8" s="1"/>
  <c r="M38" i="8" s="1"/>
  <c r="M22" i="8"/>
  <c r="M33" i="8" s="1"/>
  <c r="M34" i="8" s="1"/>
  <c r="L33" i="8"/>
  <c r="L34" i="8" s="1"/>
  <c r="AE2" i="1"/>
  <c r="AR2" i="1"/>
  <c r="F9" i="1"/>
  <c r="Q8" i="1"/>
  <c r="D3" i="7"/>
  <c r="E3" i="7" s="1"/>
  <c r="D4" i="7"/>
  <c r="D5" i="7"/>
  <c r="E5" i="7" s="1"/>
  <c r="D6" i="7"/>
  <c r="D7" i="7"/>
  <c r="D8" i="7"/>
  <c r="D9" i="7"/>
  <c r="D10" i="7"/>
  <c r="D11" i="7"/>
  <c r="D12" i="7"/>
  <c r="D13" i="7"/>
  <c r="D14" i="7"/>
  <c r="D15" i="7"/>
  <c r="D16" i="7"/>
  <c r="E16" i="7" s="1"/>
  <c r="D17" i="7"/>
  <c r="D18" i="7"/>
  <c r="E18" i="7" s="1"/>
  <c r="D19" i="7"/>
  <c r="E19" i="7" s="1"/>
  <c r="D20" i="7"/>
  <c r="D21" i="7"/>
  <c r="D22" i="7"/>
  <c r="D23" i="7"/>
  <c r="D24" i="7"/>
  <c r="E24" i="7" s="1"/>
  <c r="D25" i="7"/>
  <c r="D2" i="7"/>
  <c r="E2" i="7" s="1"/>
  <c r="E15" i="7"/>
  <c r="E20" i="7"/>
  <c r="E22" i="7"/>
  <c r="E23" i="7"/>
  <c r="E14" i="7"/>
  <c r="AI2" i="1"/>
  <c r="E4" i="7"/>
  <c r="E6" i="7"/>
  <c r="E7" i="7"/>
  <c r="E8" i="7"/>
  <c r="E9" i="7"/>
  <c r="E10" i="7"/>
  <c r="E11" i="7"/>
  <c r="E12" i="7"/>
  <c r="E13" i="7"/>
  <c r="E17" i="7"/>
  <c r="E21" i="7"/>
  <c r="E25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3" i="7"/>
  <c r="C4" i="7"/>
  <c r="C5" i="7"/>
  <c r="C6" i="7"/>
  <c r="C7" i="7"/>
  <c r="C8" i="7"/>
  <c r="C2" i="7"/>
  <c r="AS2" i="1"/>
  <c r="Q12" i="1"/>
  <c r="K36" i="8" l="1"/>
  <c r="D25" i="8"/>
  <c r="D27" i="8"/>
  <c r="D28" i="8" s="1"/>
  <c r="F42" i="8" s="1"/>
  <c r="F39" i="8"/>
  <c r="F38" i="8"/>
  <c r="C117" i="2"/>
  <c r="B118" i="2"/>
  <c r="B80" i="2"/>
  <c r="C80" i="2"/>
  <c r="F41" i="8" l="1"/>
  <c r="F44" i="8"/>
  <c r="F45" i="8"/>
  <c r="F80" i="2"/>
  <c r="F46" i="8" l="1"/>
  <c r="Q16" i="1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2" i="6"/>
  <c r="AU2" i="1"/>
  <c r="C116" i="2"/>
  <c r="C118" i="2"/>
  <c r="B116" i="2"/>
  <c r="B117" i="2"/>
  <c r="F117" i="2" s="1"/>
  <c r="F116" i="2" l="1"/>
  <c r="Q14" i="1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9" i="2"/>
  <c r="F118" i="2" s="1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B81" i="2"/>
  <c r="B82" i="2"/>
  <c r="F82" i="2" s="1"/>
  <c r="B83" i="2"/>
  <c r="B84" i="2"/>
  <c r="F84" i="2" s="1"/>
  <c r="B85" i="2"/>
  <c r="F85" i="2" s="1"/>
  <c r="B86" i="2"/>
  <c r="B87" i="2"/>
  <c r="B88" i="2"/>
  <c r="B89" i="2"/>
  <c r="F89" i="2" s="1"/>
  <c r="B90" i="2"/>
  <c r="B91" i="2"/>
  <c r="F91" i="2" s="1"/>
  <c r="B92" i="2"/>
  <c r="F92" i="2" s="1"/>
  <c r="B93" i="2"/>
  <c r="F93" i="2" s="1"/>
  <c r="B94" i="2"/>
  <c r="F94" i="2" s="1"/>
  <c r="B95" i="2"/>
  <c r="F95" i="2" s="1"/>
  <c r="B96" i="2"/>
  <c r="F96" i="2" s="1"/>
  <c r="B97" i="2"/>
  <c r="F97" i="2" s="1"/>
  <c r="B98" i="2"/>
  <c r="F98" i="2" s="1"/>
  <c r="B99" i="2"/>
  <c r="F99" i="2" s="1"/>
  <c r="B100" i="2"/>
  <c r="F100" i="2" s="1"/>
  <c r="B101" i="2"/>
  <c r="F101" i="2" s="1"/>
  <c r="B102" i="2"/>
  <c r="F102" i="2" s="1"/>
  <c r="B103" i="2"/>
  <c r="F103" i="2" s="1"/>
  <c r="B104" i="2"/>
  <c r="F104" i="2" s="1"/>
  <c r="B105" i="2"/>
  <c r="F105" i="2" s="1"/>
  <c r="B106" i="2"/>
  <c r="B107" i="2"/>
  <c r="B108" i="2"/>
  <c r="F108" i="2" s="1"/>
  <c r="B109" i="2"/>
  <c r="F109" i="2" s="1"/>
  <c r="B110" i="2"/>
  <c r="F110" i="2" s="1"/>
  <c r="B111" i="2"/>
  <c r="F111" i="2" s="1"/>
  <c r="B112" i="2"/>
  <c r="F112" i="2" s="1"/>
  <c r="B113" i="2"/>
  <c r="F113" i="2" s="1"/>
  <c r="B114" i="2"/>
  <c r="F114" i="2" s="1"/>
  <c r="B115" i="2"/>
  <c r="B119" i="2"/>
  <c r="F119" i="2" s="1"/>
  <c r="B120" i="2"/>
  <c r="F120" i="2" s="1"/>
  <c r="B121" i="2"/>
  <c r="B122" i="2"/>
  <c r="F122" i="2" s="1"/>
  <c r="B123" i="2"/>
  <c r="F123" i="2" s="1"/>
  <c r="B124" i="2"/>
  <c r="F124" i="2" s="1"/>
  <c r="B125" i="2"/>
  <c r="F125" i="2" s="1"/>
  <c r="B126" i="2"/>
  <c r="F126" i="2" s="1"/>
  <c r="B127" i="2"/>
  <c r="F127" i="2" s="1"/>
  <c r="B128" i="2"/>
  <c r="F128" i="2" s="1"/>
  <c r="B129" i="2"/>
  <c r="F129" i="2" s="1"/>
  <c r="B130" i="2"/>
  <c r="F130" i="2" s="1"/>
  <c r="B131" i="2"/>
  <c r="B132" i="2"/>
  <c r="F132" i="2" s="1"/>
  <c r="B133" i="2"/>
  <c r="F133" i="2" s="1"/>
  <c r="B134" i="2"/>
  <c r="F134" i="2" s="1"/>
  <c r="B135" i="2"/>
  <c r="F135" i="2" s="1"/>
  <c r="B136" i="2"/>
  <c r="F136" i="2" s="1"/>
  <c r="B137" i="2"/>
  <c r="F137" i="2" s="1"/>
  <c r="B138" i="2"/>
  <c r="F138" i="2" s="1"/>
  <c r="B139" i="2"/>
  <c r="F139" i="2" s="1"/>
  <c r="B2" i="1"/>
  <c r="F86" i="2" l="1"/>
  <c r="F121" i="2"/>
  <c r="Q18" i="1"/>
  <c r="AL2" i="1"/>
  <c r="AN2" i="1"/>
  <c r="F87" i="2"/>
  <c r="F131" i="2"/>
  <c r="F90" i="2"/>
  <c r="F106" i="2"/>
  <c r="F81" i="2"/>
  <c r="F88" i="2"/>
  <c r="F83" i="2"/>
  <c r="F115" i="2"/>
  <c r="F107" i="2"/>
  <c r="C44" i="2"/>
  <c r="B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C3" i="4"/>
  <c r="C4" i="4"/>
  <c r="C5" i="4"/>
  <c r="C6" i="4"/>
  <c r="C7" i="4"/>
  <c r="C8" i="4"/>
  <c r="C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2" i="2"/>
  <c r="C2" i="2"/>
  <c r="AP2" i="1"/>
  <c r="C2" i="1"/>
  <c r="F2" i="1" s="1"/>
  <c r="J2" i="1"/>
  <c r="F44" i="2" l="1"/>
  <c r="F73" i="2"/>
  <c r="F65" i="2"/>
  <c r="F57" i="2"/>
  <c r="F49" i="2"/>
  <c r="F52" i="2"/>
  <c r="F76" i="2"/>
  <c r="F68" i="2"/>
  <c r="F72" i="2"/>
  <c r="F64" i="2"/>
  <c r="F56" i="2"/>
  <c r="F48" i="2"/>
  <c r="F79" i="2"/>
  <c r="F71" i="2"/>
  <c r="F63" i="2"/>
  <c r="F55" i="2"/>
  <c r="F47" i="2"/>
  <c r="F41" i="2"/>
  <c r="F33" i="2"/>
  <c r="F25" i="2"/>
  <c r="F17" i="2"/>
  <c r="F9" i="2"/>
  <c r="F69" i="2"/>
  <c r="F61" i="2"/>
  <c r="F60" i="2"/>
  <c r="F74" i="2"/>
  <c r="F66" i="2"/>
  <c r="F58" i="2"/>
  <c r="F50" i="2"/>
  <c r="F77" i="2"/>
  <c r="F53" i="2"/>
  <c r="F45" i="2"/>
  <c r="F78" i="2"/>
  <c r="F70" i="2"/>
  <c r="F62" i="2"/>
  <c r="F54" i="2"/>
  <c r="F46" i="2"/>
  <c r="F75" i="2"/>
  <c r="F67" i="2"/>
  <c r="F59" i="2"/>
  <c r="F51" i="2"/>
  <c r="F38" i="2"/>
  <c r="F30" i="2"/>
  <c r="F22" i="2"/>
  <c r="F14" i="2"/>
  <c r="F6" i="2"/>
  <c r="F2" i="2"/>
  <c r="F36" i="2"/>
  <c r="F28" i="2"/>
  <c r="F20" i="2"/>
  <c r="F12" i="2"/>
  <c r="F4" i="2"/>
  <c r="F40" i="2"/>
  <c r="F32" i="2"/>
  <c r="F24" i="2"/>
  <c r="F16" i="2"/>
  <c r="F8" i="2"/>
  <c r="F39" i="2"/>
  <c r="F31" i="2"/>
  <c r="F23" i="2"/>
  <c r="F15" i="2"/>
  <c r="F7" i="2"/>
  <c r="F37" i="2"/>
  <c r="F29" i="2"/>
  <c r="F21" i="2"/>
  <c r="F13" i="2"/>
  <c r="F5" i="2"/>
  <c r="F43" i="2"/>
  <c r="F35" i="2"/>
  <c r="F27" i="2"/>
  <c r="F19" i="2"/>
  <c r="F11" i="2"/>
  <c r="F3" i="2"/>
  <c r="F42" i="2"/>
  <c r="F34" i="2"/>
  <c r="F26" i="2"/>
  <c r="F18" i="2"/>
  <c r="F10" i="2"/>
  <c r="AF2" i="1" l="1"/>
  <c r="AW2" i="1"/>
  <c r="AT2" i="1"/>
  <c r="W2" i="1"/>
  <c r="X2" i="1" s="1"/>
  <c r="BD2" i="1" l="1"/>
  <c r="AV2" i="1"/>
  <c r="AZ2" i="1"/>
  <c r="AX2" i="1"/>
  <c r="AY2" i="1"/>
  <c r="AD2" i="1"/>
  <c r="BG2" i="1"/>
  <c r="BC2" i="1" l="1"/>
  <c r="BB2" i="1"/>
  <c r="BA2" i="1"/>
  <c r="AG2" i="1"/>
  <c r="AJ2" i="1" s="1"/>
  <c r="AH2" i="1" l="1"/>
  <c r="BF2" i="1"/>
  <c r="BE2" i="1"/>
  <c r="Q10" i="1" l="1"/>
  <c r="BH2" i="1"/>
  <c r="AK2" i="1"/>
  <c r="BI2" i="1" l="1"/>
  <c r="B6" i="1" s="1"/>
  <c r="B7" i="1" l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tc={EB6141B8-875B-43DF-B193-52D4F9ED557D}</author>
    <author>Gogineni, Dharmik</author>
  </authors>
  <commentList>
    <comment ref="F12" authorId="0" shapeId="0" xr:uid="{EB6141B8-875B-43DF-B193-52D4F9ED557D}">
      <text>
        <t>[Threaded comment]
Your version of Excel allows you to read this threaded comment; however, any edits to it will get removed if the file is opened in a newer version of Excel. Learn more: https://go.microsoft.com/fwlink/?linkid=870924
Comment:
    @Gogineni, Dharmik, feel free to suggest more appropriate column headings</t>
      </text>
    </comment>
    <comment ref="A13" authorId="1" shapeId="0" xr:uid="{3F840E81-81E3-43B7-97D8-9860C6ADE23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4t4r:4 transmitters,4 receivers
8t8r: 8 transmitters,8 receivers
Ls=Low sample rate mode
Criteria for Low samp:
 - 4t4r:Fs&lt;10Ghz,Fs/cduc&lt;5Ghz
 - 8t8r:Fs&lt;5Ghz,Fs/cduc&lt;2.5Ghz</t>
        </r>
      </text>
    </comment>
    <comment ref="E15" authorId="1" shapeId="0" xr:uid="{981007AB-E0A4-4FC6-BE4C-EDBA96F9E0A8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hsdin block delay
</t>
        </r>
      </text>
    </comment>
    <comment ref="A16" authorId="1" shapeId="0" xr:uid="{E969DF73-C25E-48D2-880F-2D6513FE2F29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Coarse decimation</t>
        </r>
      </text>
    </comment>
    <comment ref="E16" authorId="1" shapeId="0" xr:uid="{DB0A96A3-C534-4C71-8847-E3A640F9A032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 fifo delay between hsdin output and linearx input
</t>
        </r>
      </text>
    </comment>
    <comment ref="A18" authorId="1" shapeId="0" xr:uid="{7EA03E0F-B6D0-4C0C-8A29-2AC2870F92BF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Fine decimation</t>
        </r>
      </text>
    </comment>
    <comment ref="E18" authorId="1" shapeId="0" xr:uid="{33707CA5-A5AE-4329-B784-72A20F9B9D24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linearx block delay
</t>
        </r>
      </text>
    </comment>
    <comment ref="A19" authorId="1" shapeId="0" xr:uid="{AA03EE0A-77F9-4CC1-8628-FCDA98E6BDC1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hsdin bmem programmable delay</t>
        </r>
      </text>
    </comment>
    <comment ref="E19" authorId="1" shapeId="0" xr:uid="{C43F6B0D-019A-4DD7-A952-210F93E52454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fifo delay between linearx output and pfilt input</t>
        </r>
      </text>
    </comment>
    <comment ref="A20" authorId="1" shapeId="0" xr:uid="{F7D6E2CF-D63D-4B7C-83E3-63B79EAA4E0E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 bmem programmable delay
</t>
        </r>
      </text>
    </comment>
    <comment ref="A21" authorId="1" shapeId="0" xr:uid="{C84F4520-149C-44C9-A1CD-5901B787846A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 bmem programmable delay
</t>
        </r>
      </text>
    </comment>
    <comment ref="E21" authorId="1" shapeId="0" xr:uid="{745F10EF-ED35-45D8-A055-A6A8BCC8E92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pfilt block delay</t>
        </r>
      </text>
    </comment>
    <comment ref="A22" authorId="1" shapeId="0" xr:uid="{A82604CA-1A6C-435C-963F-024D3A51C6E8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fddc bmem programmable delay</t>
        </r>
      </text>
    </comment>
    <comment ref="E22" authorId="1" shapeId="0" xr:uid="{3770C2F3-3A25-4F80-B912-F7D59847ED30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fifo delay between pfilt output and cddc input
</t>
        </r>
      </text>
    </comment>
    <comment ref="A23" authorId="1" shapeId="0" xr:uid="{468A2163-477C-4309-8F89-F644EE14890E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Fsrc decimation
</t>
        </r>
      </text>
    </comment>
    <comment ref="E23" authorId="1" shapeId="0" xr:uid="{08C82B6D-458F-4448-A865-01359EF96E36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 bmem delay</t>
        </r>
      </text>
    </comment>
    <comment ref="A24" authorId="1" shapeId="0" xr:uid="{EAFEDC50-49CF-4CDD-B817-9F718406714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hsdin bmem block enable</t>
        </r>
      </text>
    </comment>
    <comment ref="E24" authorId="1" shapeId="0" xr:uid="{C236332D-66AA-4E18-B2EF-9D68C16BC1E1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fddc bmem block delay</t>
        </r>
      </text>
    </comment>
    <comment ref="A25" authorId="1" shapeId="0" xr:uid="{BD3139AF-4AAF-460A-8F28-2BEA3B8A01D2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 bmem block enable</t>
        </r>
      </text>
    </comment>
    <comment ref="E25" authorId="1" shapeId="0" xr:uid="{2F0A3EC8-528F-42F7-9050-E5FE8CF5C9A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cddc+fddc block delay
excluding bmems</t>
        </r>
      </text>
    </comment>
    <comment ref="A26" authorId="1" shapeId="0" xr:uid="{217EFE9E-5099-4EE2-B688-9C2D661EFBD7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fddc_bmem_en
</t>
        </r>
      </text>
    </comment>
    <comment ref="E26" authorId="1" shapeId="0" xr:uid="{71815EFE-7067-4F7E-BBD0-6291395405B8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variation in fine delay
</t>
        </r>
      </text>
    </comment>
    <comment ref="A27" authorId="1" shapeId="0" xr:uid="{B3DDDF52-B0E9-4FF5-BC81-B1430D0396E9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linearx block enable</t>
        </r>
      </text>
    </comment>
    <comment ref="A28" authorId="1" shapeId="0" xr:uid="{9F4CA6D1-FF30-4ACB-AE2B-866C5396017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pfilt block enable</t>
        </r>
      </text>
    </comment>
    <comment ref="A29" authorId="1" shapeId="0" xr:uid="{19A7D447-1BA4-49CB-B285-8A914B382F58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pfilt tap selection</t>
        </r>
      </text>
    </comment>
    <comment ref="A30" authorId="1" shapeId="0" xr:uid="{C77F7A0C-DF4A-41AB-A764-939BDB29AC0A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cddc+fddc block enable
</t>
        </r>
      </text>
    </comment>
    <comment ref="J30" authorId="1" shapeId="0" xr:uid="{920D634A-2A6F-4E5B-A332-57FA9421861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cddc pnrmacro till accumulator</t>
        </r>
      </text>
    </comment>
    <comment ref="A31" authorId="1" shapeId="0" xr:uid="{BF533468-E929-4CDD-AD37-4D98CB17D489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Nco in fddc and cddc enable
</t>
        </r>
      </text>
    </comment>
    <comment ref="J31" authorId="1" shapeId="0" xr:uid="{D64918CE-891B-4E81-98DB-D6CF7C95F2B6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cddc pnrmacro till mixer</t>
        </r>
      </text>
    </comment>
    <comment ref="A33" authorId="1" shapeId="0" xr:uid="{22E5F871-DA6A-4E85-A7DD-E13CC6F38761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Upsambler block enable</t>
        </r>
      </text>
    </comment>
    <comment ref="J33" authorId="1" shapeId="0" xr:uid="{50614DB9-6BD4-46C9-B5DB-678FFB44635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fddc pnrmacro till accumulator</t>
        </r>
      </text>
    </comment>
    <comment ref="A34" authorId="1" shapeId="0" xr:uid="{6EB88AE1-DE24-4267-A94A-50E9E7206D93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Cfir block enable
</t>
        </r>
      </text>
    </comment>
    <comment ref="J34" authorId="1" shapeId="0" xr:uid="{F5028EB3-3544-4E27-A4FA-E080975D1006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fddc pnrmacro till mixer</t>
        </r>
      </text>
    </comment>
    <comment ref="A35" authorId="1" shapeId="0" xr:uid="{DB35F16D-7200-4586-A7F2-6645A9521C7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fsrc block enable
</t>
        </r>
      </text>
    </comment>
    <comment ref="C35" authorId="1" shapeId="0" xr:uid="{DDD386E0-68FF-479E-97AE-F0195171A133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Lanes
</t>
        </r>
      </text>
    </comment>
    <comment ref="J35" authorId="1" shapeId="0" xr:uid="{63FB201F-77F0-429A-A151-5E5FC75F6EC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pfilt pnrmacro till coefficient configuration</t>
        </r>
      </text>
    </comment>
    <comment ref="A36" authorId="1" shapeId="0" xr:uid="{F08B957A-7F4E-4737-8D08-59BB220B38F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Jesd asynchronous mode enable</t>
        </r>
      </text>
    </comment>
    <comment ref="C36" authorId="1" shapeId="0" xr:uid="{5D7F157E-C066-4A6B-B012-2C9653D4DB51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converters</t>
        </r>
      </text>
    </comment>
    <comment ref="J36" authorId="1" shapeId="0" xr:uid="{AA432BDE-454D-4A54-AADA-4410CAA0349B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pfilt pnrmacro till output</t>
        </r>
      </text>
    </comment>
    <comment ref="C37" authorId="1" shapeId="0" xr:uid="{ECAAED6A-B308-469D-8987-0F166F16336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Frames</t>
        </r>
      </text>
    </comment>
    <comment ref="J37" authorId="1" shapeId="0" xr:uid="{C31E3349-A3CB-4461-B46E-3EEA7CB26A9C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cfir pnrmacro till coefficient configuration</t>
        </r>
      </text>
    </comment>
    <comment ref="C38" authorId="1" shapeId="0" xr:uid="{6E5FA10A-B487-46A1-A32F-72264AC6D122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samples per converter</t>
        </r>
      </text>
    </comment>
    <comment ref="J38" authorId="1" shapeId="0" xr:uid="{41F43E2C-3CF2-4532-BAF8-E8BE56499610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sum of all delays of cfir pnrmacro till output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Gogineni, Dharmik</author>
    <author>tc={76AAC7B5-72EA-40A9-898A-BA9D559BB291}</author>
    <author>tc={5DFB11F5-D2DB-4D91-86BD-B982D9E80F7A}</author>
    <author>tc={C6E190DA-2D7D-4139-B2C6-A74A5A189F1E}</author>
    <author>tc={572B3963-A8DC-4F75-AB37-398A3E91C5C5}</author>
    <author>tc={0496176F-6D43-48AA-B2FD-BA3CED1AD2DB}</author>
  </authors>
  <commentList>
    <comment ref="D1" authorId="0" shapeId="0" xr:uid="{E57123B9-58B8-4B68-B514-6381EAE3AD02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Coarse decimation</t>
        </r>
      </text>
    </comment>
    <comment ref="E1" authorId="0" shapeId="0" xr:uid="{3D17D4EC-78B8-479B-AF04-4ED7DD7129BC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Fine decimation</t>
        </r>
      </text>
    </comment>
    <comment ref="G1" authorId="0" shapeId="0" xr:uid="{86507933-6EC3-4F64-984C-2E406333DE23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hsdin bmem programmable delay</t>
        </r>
      </text>
    </comment>
    <comment ref="H1" authorId="0" shapeId="0" xr:uid="{563E4914-0628-40A4-974A-E7D4209AC3A6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 bmem programmable delay
</t>
        </r>
      </text>
    </comment>
    <comment ref="I1" authorId="0" shapeId="0" xr:uid="{2D5991DB-85F5-4705-9F21-A09D89BB2E5C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fddc bmem programmable delay
</t>
        </r>
      </text>
    </comment>
    <comment ref="L1" authorId="0" shapeId="0" xr:uid="{ABC637D9-4E34-4A25-A069-88ABD4B40CFD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hsdin_bmem_en</t>
        </r>
      </text>
    </comment>
    <comment ref="M1" authorId="0" shapeId="0" xr:uid="{67403FC4-0EDB-4D9F-A4D5-0917C5F0384E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cddc_bmem_en</t>
        </r>
      </text>
    </comment>
    <comment ref="N1" authorId="0" shapeId="0" xr:uid="{2F3BBBC1-A06E-48ED-85CA-6863EFA6B630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fddc_bmem_en
</t>
        </r>
      </text>
    </comment>
    <comment ref="O1" authorId="0" shapeId="0" xr:uid="{52D3C597-4935-4FB9-BCD2-642751ECE579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lnrx block enable</t>
        </r>
      </text>
    </comment>
    <comment ref="P1" authorId="0" shapeId="0" xr:uid="{E430BACB-6E6E-4A2B-9B8F-9FBEA4021224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pfilt block enable</t>
        </r>
      </text>
    </comment>
    <comment ref="Q1" authorId="0" shapeId="0" xr:uid="{10FDA1D7-6BF8-48A6-83C3-65D514FA13E1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pfilt tap selection</t>
        </r>
      </text>
    </comment>
    <comment ref="V1" authorId="0" shapeId="0" xr:uid="{8CF5E7C2-435E-48BD-B4ED-8EA1282974B6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JTX async mode
</t>
        </r>
      </text>
    </comment>
    <comment ref="W1" authorId="1" shapeId="0" xr:uid="{76AAC7B5-72EA-40A9-898A-BA9D559BB291}">
      <text>
        <t>[Threaded comment]
Your version of Excel allows you to read this threaded comment; however, any edits to it will get removed if the file is opened in a newer version of Excel. Learn more: https://go.microsoft.com/fwlink/?linkid=870924
Comment:
    @Gogineni, Dharmik for each of these blue boxes, need a definiton or description on what it is</t>
      </text>
    </comment>
    <comment ref="Z1" authorId="0" shapeId="0" xr:uid="{AC6CA71A-8787-480A-811A-84891830C09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Lanes
</t>
        </r>
      </text>
    </comment>
    <comment ref="AA1" authorId="0" shapeId="0" xr:uid="{7F66B8F0-3EF8-427A-AD9F-3F8770AE1A1C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converters</t>
        </r>
      </text>
    </comment>
    <comment ref="AB1" authorId="0" shapeId="0" xr:uid="{F9BDA120-D037-42E1-B457-555A1AB0A080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Frames</t>
        </r>
      </text>
    </comment>
    <comment ref="AC1" authorId="0" shapeId="0" xr:uid="{F6310C37-DFE2-418F-B0A3-CAFEDFD11925}">
      <text>
        <r>
          <rPr>
            <b/>
            <sz val="9"/>
            <color indexed="81"/>
            <rFont val="Tahoma"/>
            <family val="2"/>
          </rPr>
          <t>Gogineni, Dharmik:</t>
        </r>
        <r>
          <rPr>
            <sz val="9"/>
            <color indexed="81"/>
            <rFont val="Tahoma"/>
            <family val="2"/>
          </rPr>
          <t xml:space="preserve">
Number of samples per converter</t>
        </r>
      </text>
    </comment>
    <comment ref="AL1" authorId="2" shapeId="0" xr:uid="{5DFB11F5-D2DB-4D91-86BD-B982D9E80F7A}">
      <text>
        <t>[Threaded comment]
Your version of Excel allows you to read this threaded comment; however, any edits to it will get removed if the file is opened in a newer version of Excel. Learn more: https://go.microsoft.com/fwlink/?linkid=870924
Comment:
    @Gogineni, Dharmik, for each of these blcok names will need more explicit naming or add another column for an explicit description...see the Sheet 3" tab  for a suggested format that is more user friendly...I already converted the formulas for the new format, including a LUT for the JESD mode</t>
      </text>
    </comment>
    <comment ref="Z2" authorId="3" shapeId="0" xr:uid="{C6E190DA-2D7D-4139-B2C6-A74A5A189F1E}">
      <text>
        <t>[Threaded comment]
Your version of Excel allows you to read this threaded comment; however, any edits to it will get removed if the file is opened in a newer version of Excel. Learn more: https://go.microsoft.com/fwlink/?linkid=870924
Comment:
    @Gogineni, Dharmik, I suggest having users enter the JESD204 mode number and then deriving the LMFS values.  Check "sheet 3"  where I have done this and made some formattng chages to make it more user friendly</t>
      </text>
    </comment>
    <comment ref="AB2" authorId="4" shapeId="0" xr:uid="{572B3963-A8DC-4F75-AB37-398A3E91C5C5}">
      <text>
        <t>[Threaded comment]
Your version of Excel allows you to read this threaded comment; however, any edits to it will get removed if the file is opened in a newer version of Excel. Learn more: https://go.microsoft.com/fwlink/?linkid=870924
Comment:
    Are F and S transposed?  There is not a valide mode wher LMFS = 2.2.1.2 but ehre is a 2.2.2.1</t>
      </text>
    </comment>
    <comment ref="B6" authorId="5" shapeId="0" xr:uid="{0496176F-6D43-48AA-B2FD-BA3CED1AD2DB}">
      <text>
        <t>[Threaded comment]
Your version of Excel allows you to read this threaded comment; however, any edits to it will get removed if the file is opened in a newer version of Excel. Learn more: https://go.microsoft.com/fwlink/?linkid=870924
Comment:
    @Gogineni, Dharmik are these n units of MCLK cycles or something else?</t>
      </text>
    </comment>
  </commentList>
</comments>
</file>

<file path=xl/sharedStrings.xml><?xml version="1.0" encoding="utf-8"?>
<sst xmlns="http://schemas.openxmlformats.org/spreadsheetml/2006/main" count="662" uniqueCount="266">
  <si>
    <t>User Selections</t>
  </si>
  <si>
    <t>Not to be programmed</t>
  </si>
  <si>
    <t>Individual block delay</t>
  </si>
  <si>
    <t>N/A(INVALID MODE)</t>
  </si>
  <si>
    <t>User Instructions: 
     1. Insert user values in column B only.  All other values are calculated
     2. Latency values is converter sample clocks (Fs) are given in column F for each functional block
     3. End-to-end latency (min and max values) are given in cells F44 and F45</t>
  </si>
  <si>
    <t>User Input</t>
  </si>
  <si>
    <t>Calculated Input</t>
  </si>
  <si>
    <t>Latency</t>
  </si>
  <si>
    <t>Block Description</t>
  </si>
  <si>
    <t>Value</t>
  </si>
  <si>
    <t>Latency  Description</t>
  </si>
  <si>
    <r>
      <t xml:space="preserve">Latency Value
 </t>
    </r>
    <r>
      <rPr>
        <b/>
        <sz val="11"/>
        <color rgb="FF0070C0"/>
        <rFont val="Calibri"/>
        <family val="2"/>
        <scheme val="minor"/>
      </rPr>
      <t>(Fs clk cycles)</t>
    </r>
  </si>
  <si>
    <t>Functional Block/notes</t>
  </si>
  <si>
    <t>Errors</t>
  </si>
  <si>
    <t>Trig_to_Hop(in Fs cycles)</t>
  </si>
  <si>
    <t>SPIO_to_Hop(in Fs cycles)</t>
  </si>
  <si>
    <t>GPIO_to_Hop(in Fs cycles)</t>
  </si>
  <si>
    <t>4T4R_LS</t>
  </si>
  <si>
    <t>8T8R</t>
  </si>
  <si>
    <t>adc_dly(min)</t>
  </si>
  <si>
    <t>ADC stage1(minimum)</t>
  </si>
  <si>
    <t>i_sync_to_rx till reconfig ctlr</t>
  </si>
  <si>
    <t>ADC Rand mode</t>
  </si>
  <si>
    <t>low_samp</t>
  </si>
  <si>
    <t>adc_dly(max)</t>
  </si>
  <si>
    <t>ADC stage1(maximum)</t>
  </si>
  <si>
    <t>Delay in reconfig ctrlr</t>
  </si>
  <si>
    <t>ADC SEQ mode</t>
  </si>
  <si>
    <t>hsdin_dly</t>
  </si>
  <si>
    <t>ADC stage2</t>
  </si>
  <si>
    <t>Delay till cddc macro from reconf</t>
  </si>
  <si>
    <t>Cdec</t>
  </si>
  <si>
    <t>hsdin_o_lnrx_i_fifo</t>
  </si>
  <si>
    <t>FIFO (fixed)</t>
  </si>
  <si>
    <t>Delay till fddc macro from reconf</t>
  </si>
  <si>
    <t>Fdec</t>
  </si>
  <si>
    <t>lnrx_dly</t>
  </si>
  <si>
    <t>LinearX</t>
  </si>
  <si>
    <t>Delay till PFILT macro from reconf</t>
  </si>
  <si>
    <t>hsdin_pgm_dly</t>
  </si>
  <si>
    <t>link_ddc_dec</t>
  </si>
  <si>
    <t>lnrx_o_pfilt_I</t>
  </si>
  <si>
    <t>LinX/PFILT Interface  (fixed)</t>
  </si>
  <si>
    <t>Delay till CFIR macro from reconf</t>
  </si>
  <si>
    <t>cddc_bmem_pgm_dly</t>
  </si>
  <si>
    <t>link_total_dec</t>
  </si>
  <si>
    <t>pfilt_dly</t>
  </si>
  <si>
    <t>PFILT</t>
  </si>
  <si>
    <t>Extra delay till CNCO accumulator update</t>
  </si>
  <si>
    <t>fddc_bmem_pgm_dly</t>
  </si>
  <si>
    <t>DDC_NS</t>
  </si>
  <si>
    <t>pfilt_o_fine_in</t>
  </si>
  <si>
    <t>PFILT/CDDC Interface  (fixed)</t>
  </si>
  <si>
    <t>Extra delay till FNCO accumulator update</t>
  </si>
  <si>
    <t>fsrc_dec</t>
  </si>
  <si>
    <t>NS_CONV_NS</t>
  </si>
  <si>
    <t>cddc_bmem_dly</t>
  </si>
  <si>
    <t>CDDC/BMEM</t>
  </si>
  <si>
    <t>Extra delay till PFILT coefficient switch</t>
  </si>
  <si>
    <t>hsdin_bmem_en</t>
  </si>
  <si>
    <t>JTX_NS</t>
  </si>
  <si>
    <t>fddc_bmem_dly</t>
  </si>
  <si>
    <t>FDDC/BMEM</t>
  </si>
  <si>
    <t>Extra delay till CFIR coefficient switch</t>
  </si>
  <si>
    <t>cddc_bmem_en</t>
  </si>
  <si>
    <t>JTX_NS/Ns_Conv_ns</t>
  </si>
  <si>
    <t>fine_dly</t>
  </si>
  <si>
    <t>Fine Delay</t>
  </si>
  <si>
    <t>CNCO accumulator till Mixer output</t>
  </si>
  <si>
    <t>fddc_bmem_en</t>
  </si>
  <si>
    <t>pclk_div</t>
  </si>
  <si>
    <t>fine_dly_variation</t>
  </si>
  <si>
    <t>Fine Delay Variation</t>
  </si>
  <si>
    <t>FNCO accumulator till Mixer output</t>
  </si>
  <si>
    <t>lnrx_en</t>
  </si>
  <si>
    <t>conv_clk_div</t>
  </si>
  <si>
    <t>fine_o_cfir_in</t>
  </si>
  <si>
    <t>FDDC/CFIR Interface</t>
  </si>
  <si>
    <t>PFILT coefficient to PFILT output</t>
  </si>
  <si>
    <t>pfilt_en</t>
  </si>
  <si>
    <t>conv_clk/pclk</t>
  </si>
  <si>
    <t>cfir_dly</t>
  </si>
  <si>
    <t>CFIR</t>
  </si>
  <si>
    <t>CFIR coefficient to CFIR output</t>
  </si>
  <si>
    <t>pfilt_mode</t>
  </si>
  <si>
    <t>N/4 Tap</t>
  </si>
  <si>
    <t>fsrc_ungated</t>
  </si>
  <si>
    <t>FSRC stage1</t>
  </si>
  <si>
    <t>fine_en</t>
  </si>
  <si>
    <t>variation</t>
  </si>
  <si>
    <t>FSRC stage1 variation</t>
  </si>
  <si>
    <t>Total delay till CNCO accumulator</t>
  </si>
  <si>
    <t>nco_en</t>
  </si>
  <si>
    <t>fsrc_fifo_dly</t>
  </si>
  <si>
    <t>FSRC stage2</t>
  </si>
  <si>
    <t>Total delay till CNCO mixer</t>
  </si>
  <si>
    <t>upsampler_en</t>
  </si>
  <si>
    <t>FSRC stage2 variation</t>
  </si>
  <si>
    <t>Total delay till FNCO accumulator</t>
  </si>
  <si>
    <t>cfir_en</t>
  </si>
  <si>
    <t>Active samples</t>
  </si>
  <si>
    <t>fsrc_gated_dly</t>
  </si>
  <si>
    <t>FSRC stage3</t>
  </si>
  <si>
    <t>Total delay till FNCO mixer</t>
  </si>
  <si>
    <t>fsrc_en</t>
  </si>
  <si>
    <t>L</t>
  </si>
  <si>
    <t>fsrc_gated_variation</t>
  </si>
  <si>
    <t>FSRC stage3 variation</t>
  </si>
  <si>
    <t>Total delay till PFILT coefficients</t>
  </si>
  <si>
    <t>async</t>
  </si>
  <si>
    <t>M</t>
  </si>
  <si>
    <t>upsampler_dly</t>
  </si>
  <si>
    <t>UPSAMPLER</t>
  </si>
  <si>
    <t>Total delay till PFILT output</t>
  </si>
  <si>
    <t>Jesd_type</t>
  </si>
  <si>
    <t>Jesd204c</t>
  </si>
  <si>
    <t>F</t>
  </si>
  <si>
    <t>NS_CONV_DLY</t>
  </si>
  <si>
    <t>NS Conversion</t>
  </si>
  <si>
    <t>Total delay till CFIR coefficients</t>
  </si>
  <si>
    <t>JESD_mode_number</t>
  </si>
  <si>
    <t>S</t>
  </si>
  <si>
    <t>RM_fifo_dly(min)</t>
  </si>
  <si>
    <t>Rate match fifo(min)</t>
  </si>
  <si>
    <t>Total delay till CFIR output</t>
  </si>
  <si>
    <t>RM_fifo_dly(max)</t>
  </si>
  <si>
    <t>Rate match fifo(max)</t>
  </si>
  <si>
    <t>dformat_dly</t>
  </si>
  <si>
    <t>Data Formatter</t>
  </si>
  <si>
    <t>Jtx_wrapper dly</t>
  </si>
  <si>
    <t>JESD204 Digital</t>
  </si>
  <si>
    <t>JTx_dly</t>
  </si>
  <si>
    <t>JESD204 PHY</t>
  </si>
  <si>
    <t>total_dly(min)</t>
  </si>
  <si>
    <t>total_dly(max)</t>
  </si>
  <si>
    <t>Percentage of variation</t>
  </si>
  <si>
    <t xml:space="preserve">Mode </t>
  </si>
  <si>
    <t>What is this?</t>
  </si>
  <si>
    <t>4T4R</t>
  </si>
  <si>
    <t>half_complex</t>
  </si>
  <si>
    <t>Selections</t>
  </si>
  <si>
    <t>Mode</t>
  </si>
  <si>
    <t>Link_ddc_dec</t>
  </si>
  <si>
    <t>4t4r</t>
  </si>
  <si>
    <t>4t4r_ls</t>
  </si>
  <si>
    <t>8t8r</t>
  </si>
  <si>
    <t>8t8r_ls</t>
  </si>
  <si>
    <t>variant</t>
  </si>
  <si>
    <t>Cddc</t>
  </si>
  <si>
    <t> Fddc</t>
  </si>
  <si>
    <t>cddc_bmem delay</t>
  </si>
  <si>
    <t>fddc_bmem delay</t>
  </si>
  <si>
    <t>8T8R_LS</t>
  </si>
  <si>
    <t>cdec</t>
  </si>
  <si>
    <t>fdec</t>
  </si>
  <si>
    <t>fine_enable_dly</t>
  </si>
  <si>
    <t>fine_en(nco_dis)</t>
  </si>
  <si>
    <t>fine_bypass</t>
  </si>
  <si>
    <t>fine_bypass(nco_dis)</t>
  </si>
  <si>
    <t>clk_div</t>
  </si>
  <si>
    <t>fine_enable_valid</t>
  </si>
  <si>
    <t>fine_bypass_valid</t>
  </si>
  <si>
    <t>N/A</t>
  </si>
  <si>
    <t>Type</t>
  </si>
  <si>
    <t>pfilt_dly(4T4R)</t>
  </si>
  <si>
    <t>pfilt_dly(8T8R)</t>
  </si>
  <si>
    <t>N/2 Tap</t>
  </si>
  <si>
    <t>N Tap</t>
  </si>
  <si>
    <t>full_complex</t>
  </si>
  <si>
    <t>Num_samples</t>
  </si>
  <si>
    <t>min</t>
  </si>
  <si>
    <t>max</t>
  </si>
  <si>
    <t>JESD204</t>
  </si>
  <si>
    <t>Mode Number</t>
  </si>
  <si>
    <t>Device Mode</t>
  </si>
  <si>
    <t>Name</t>
  </si>
  <si>
    <t>rx_adc_delay_4t4r_rand_min</t>
  </si>
  <si>
    <t>rx_adc_delay_4t4r_seq_min</t>
  </si>
  <si>
    <t>rx_adc_delay_8t8r_rand_min</t>
  </si>
  <si>
    <t>rx_adc_delay_8t8r_seq_min</t>
  </si>
  <si>
    <t/>
  </si>
  <si>
    <t>rx_adc_delay_4t4r_rand_max</t>
  </si>
  <si>
    <t>rx_adc_delay_4t4r_seq_max</t>
  </si>
  <si>
    <t>rx_adc_delay_8t8r_rand_max</t>
  </si>
  <si>
    <t>rx_adc_delay_8t8r_seq_max</t>
  </si>
  <si>
    <t>rx_hsdin_delay_4t4r_enabled</t>
  </si>
  <si>
    <t>rx_hsdin_delay_8t8r_enabled</t>
  </si>
  <si>
    <t>rx_hsdin_delay_4t4r_disabled</t>
  </si>
  <si>
    <t>rx_hsdin_delay_8t8r_disabled</t>
  </si>
  <si>
    <t>rx_hsdin_o_lnrx_i_fifo_delay_4t4r</t>
  </si>
  <si>
    <t>rx_hsdin_o_lnrx_i_fifo_delay_8t8r</t>
  </si>
  <si>
    <t>pfilt_delay_4t4r_disabled</t>
  </si>
  <si>
    <t>rx_pfilt_o_fine_in_delay_4t4r</t>
  </si>
  <si>
    <t>pfilt_delay_8t8r_disabled</t>
  </si>
  <si>
    <t>rx_pfilt_o_fine_in_delay_8t8r</t>
  </si>
  <si>
    <t>rx_lnrx_delay_4t4r_enabled</t>
  </si>
  <si>
    <t>rx_lnrx_delay_8t8r_enabled</t>
  </si>
  <si>
    <t>rx_lnrx_o_pfilt_I_delay_4t4r</t>
  </si>
  <si>
    <t>rx_lnrx_o_pfilt_I_delay_8t8r</t>
  </si>
  <si>
    <t>rx_fine_dly_variation_coeff</t>
  </si>
  <si>
    <t>rx_fine_o_cfir_in_coeff</t>
  </si>
  <si>
    <t>rx_fine_o_cfir_fine_dis</t>
  </si>
  <si>
    <t>rx_fsrc_ungated_coeff</t>
  </si>
  <si>
    <t>rx_fsrc_ungated_add</t>
  </si>
  <si>
    <t>rx_fsrc_ungated_var_coeff</t>
  </si>
  <si>
    <t>rx_fsrc_fifo_coeff</t>
  </si>
  <si>
    <t>rx_fsrc_fifo_var_coeff</t>
  </si>
  <si>
    <t>rx_upsampler_add</t>
  </si>
  <si>
    <t>rx_upsampler_coeff</t>
  </si>
  <si>
    <t>rx_ns_add_fine_dis</t>
  </si>
  <si>
    <t>rx_ns_add_fine_en</t>
  </si>
  <si>
    <t>rx_ns_fsrc_dis_coeff</t>
  </si>
  <si>
    <t>rx_rm_fifo_min_coeff</t>
  </si>
  <si>
    <t>rx_rm_fifo_max_coeff</t>
  </si>
  <si>
    <t>rx_dformat_coeff</t>
  </si>
  <si>
    <t>rx_jtx_wrapper_ratio_1</t>
  </si>
  <si>
    <t>rx_jtx_wrapper_ratio_2</t>
  </si>
  <si>
    <t>rx_jtx_wrapper_ratio_p75</t>
  </si>
  <si>
    <t>rx_jtx_wrapper_ratio_1_dly</t>
  </si>
  <si>
    <t>rx_jtx_wrapper_ratio_2_dly</t>
  </si>
  <si>
    <t>rx_jtx_wrapper_ratio_p75_dly</t>
  </si>
  <si>
    <t>rx_jtx_wrapper_ratio_default_dly</t>
  </si>
  <si>
    <t>rx_jtx_ratio_1</t>
  </si>
  <si>
    <t>rx_jtx_ratio_p5</t>
  </si>
  <si>
    <t>rx_jtx_ratio_p75</t>
  </si>
  <si>
    <t>rx_jtx_ratio_1p5</t>
  </si>
  <si>
    <t>rx_jtx_ratio_1_add</t>
  </si>
  <si>
    <t>rx_jtx_ratio_default_sub</t>
  </si>
  <si>
    <t>rx_jtx_ratio_p5_dly</t>
  </si>
  <si>
    <t>rx_jtx_async_default_add</t>
  </si>
  <si>
    <t>rx_jtx_async_ratio_p75_or_1p5_add</t>
  </si>
  <si>
    <t>rx_ddc_ns_link_ddc_limit_32</t>
  </si>
  <si>
    <t>rx_ddc_ns_link_ddc_limit_16</t>
  </si>
  <si>
    <t>rx_ddc_ns_link_ddc_limit_8</t>
  </si>
  <si>
    <t>rx_ddc_ns_limit_32_4t4r_coeff</t>
  </si>
  <si>
    <t>rx_ddc_ns_limit_16_coeff</t>
  </si>
  <si>
    <t>rx_ddc_ns_limit_8_coeff</t>
  </si>
  <si>
    <t>rx_ddc_ns_ls_en_link_ddc_1</t>
  </si>
  <si>
    <t>rx_ddc_ns_ls_en_link_ddc_3</t>
  </si>
  <si>
    <t>rx_ddc_ns_ls_en_default_coeff</t>
  </si>
  <si>
    <t>rx_ddc_ns_coeff_1</t>
  </si>
  <si>
    <t>rx_ns_conv_ns_fsrc_en</t>
  </si>
  <si>
    <t>rx_jtx_ns_mod</t>
  </si>
  <si>
    <t>rx_jtx_ns_4t4r</t>
  </si>
  <si>
    <t>rx_jtx_ns_8t8r</t>
  </si>
  <si>
    <t>rx_pclk_jesd_b_coeff</t>
  </si>
  <si>
    <t>rx_pclk_jesd_c_coeff</t>
  </si>
  <si>
    <t>rx_active_sample_ls_en_sub</t>
  </si>
  <si>
    <t>rx_active_sample_ls_en_cdec_mod_2</t>
  </si>
  <si>
    <t>rx_active_sample_cdec_mod_12</t>
  </si>
  <si>
    <t>rx_active_sample_cdec_mod_coeff_2</t>
  </si>
  <si>
    <t>rx_active_sample_cdec_mod_coeff_4</t>
  </si>
  <si>
    <t>rx_active_sample_4t4r_coeff</t>
  </si>
  <si>
    <t>rx_active_sample_8t8r_coeff</t>
  </si>
  <si>
    <t>rx_active_sample_ls_en_coeff</t>
  </si>
  <si>
    <t>rx_active_sample_ls_dis_coeff</t>
  </si>
  <si>
    <t>rx_active_sample_greater_than_dec</t>
  </si>
  <si>
    <t>rx_active_sample_key_gen_coeff_1E4</t>
  </si>
  <si>
    <t>rx_active_sample_key_gen_coeff_2</t>
  </si>
  <si>
    <t>rx_active_sample_key_gen_coeff_100</t>
  </si>
  <si>
    <t>rx_active_sample_key_gen_add_1</t>
  </si>
  <si>
    <t>fsrc_dec_calc_2_to_48</t>
  </si>
  <si>
    <t>fsrc_key_gen_coeff_10</t>
  </si>
  <si>
    <t>bmem_ddc_duc_coeff_1E4</t>
  </si>
  <si>
    <t>bmem_ddc_duc_coeff_2</t>
  </si>
  <si>
    <t>bmem_ddc_duc_coeff_100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</si>
</sst>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.5"/>
      <color rgb="FF000000"/>
      <name val="Arial"/>
      <family val="2"/>
    </font>
    <font>
      <sz val="8.5"/>
      <color rgb="FF000000"/>
      <name val="Arial"/>
      <family val="2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F84D6"/>
        <bgColor indexed="64"/>
      </patternFill>
    </fill>
    <fill>
      <patternFill patternType="solid">
        <fgColor rgb="FFFCAAAC"/>
        <bgColor indexed="64"/>
      </patternFill>
    </fill>
    <fill>
      <patternFill patternType="solid">
        <fgColor rgb="FFFA7679"/>
        <bgColor indexed="64"/>
      </patternFill>
    </fill>
    <fill>
      <patternFill patternType="solid">
        <fgColor rgb="FFF2AA7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3F9DB"/>
        <bgColor indexed="64"/>
      </patternFill>
    </fill>
    <fill>
      <patternFill patternType="solid">
        <fgColor rgb="FF6DA945"/>
        <bgColor indexed="64"/>
      </patternFill>
    </fill>
    <fill>
      <patternFill patternType="solid">
        <fgColor rgb="FF8FC36B"/>
        <bgColor indexed="64"/>
      </patternFill>
    </fill>
    <fill>
      <patternFill patternType="solid">
        <fgColor rgb="FFBDDBA9"/>
        <bgColor indexed="64"/>
      </patternFill>
    </fill>
    <fill>
      <patternFill patternType="solid">
        <fgColor rgb="FFD8EACC"/>
        <bgColor indexed="64"/>
      </patternFill>
    </fill>
    <fill>
      <patternFill patternType="solid">
        <fgColor rgb="FFF4F9F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0" fillId="0" borderId="6" xfId="0" applyBorder="1"/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 applyAlignment="1">
      <alignment wrapText="1"/>
    </xf>
    <xf numFmtId="0" fontId="0" fillId="6" borderId="4" xfId="0" applyFill="1" applyBorder="1"/>
    <xf numFmtId="0" fontId="0" fillId="0" borderId="0" xfId="0" applyAlignment="1">
      <alignment horizontal="right"/>
    </xf>
    <xf numFmtId="0" fontId="1" fillId="0" borderId="0" xfId="0" applyFont="1"/>
    <xf numFmtId="49" fontId="0" fillId="0" borderId="0" xfId="0" applyNumberFormat="1"/>
    <xf numFmtId="0" fontId="7" fillId="3" borderId="1" xfId="0" applyFont="1" applyFill="1" applyBorder="1" applyAlignment="1">
      <alignment horizontal="right"/>
    </xf>
    <xf numFmtId="0" fontId="7" fillId="0" borderId="3" xfId="0" applyFont="1" applyBorder="1"/>
    <xf numFmtId="0" fontId="7" fillId="3" borderId="4" xfId="0" applyFont="1" applyFill="1" applyBorder="1" applyAlignment="1">
      <alignment horizontal="right"/>
    </xf>
    <xf numFmtId="0" fontId="7" fillId="0" borderId="6" xfId="0" applyFont="1" applyBorder="1"/>
    <xf numFmtId="0" fontId="8" fillId="0" borderId="0" xfId="0" applyFont="1"/>
    <xf numFmtId="0" fontId="0" fillId="4" borderId="14" xfId="0" applyFill="1" applyBorder="1"/>
    <xf numFmtId="0" fontId="0" fillId="0" borderId="14" xfId="0" applyBorder="1"/>
    <xf numFmtId="0" fontId="0" fillId="4" borderId="11" xfId="0" applyFill="1" applyBorder="1"/>
    <xf numFmtId="0" fontId="0" fillId="5" borderId="14" xfId="0" applyFill="1" applyBorder="1"/>
    <xf numFmtId="0" fontId="0" fillId="0" borderId="15" xfId="0" applyBorder="1"/>
    <xf numFmtId="0" fontId="1" fillId="5" borderId="14" xfId="0" applyFont="1" applyFill="1" applyBorder="1"/>
    <xf numFmtId="0" fontId="0" fillId="5" borderId="11" xfId="0" applyFill="1" applyBorder="1"/>
    <xf numFmtId="0" fontId="0" fillId="6" borderId="14" xfId="0" applyFill="1" applyBorder="1"/>
    <xf numFmtId="0" fontId="0" fillId="4" borderId="17" xfId="0" applyFill="1" applyBorder="1"/>
    <xf numFmtId="0" fontId="0" fillId="5" borderId="17" xfId="0" applyFill="1" applyBorder="1"/>
    <xf numFmtId="0" fontId="0" fillId="6" borderId="17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8" borderId="20" xfId="0" applyFont="1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0" fontId="7" fillId="11" borderId="20" xfId="0" applyFont="1" applyFill="1" applyBorder="1" applyAlignment="1">
      <alignment horizontal="center"/>
    </xf>
    <xf numFmtId="0" fontId="7" fillId="12" borderId="20" xfId="0" applyFont="1" applyFill="1" applyBorder="1" applyAlignment="1">
      <alignment horizontal="center"/>
    </xf>
    <xf numFmtId="0" fontId="7" fillId="13" borderId="20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6" borderId="20" xfId="0" applyFont="1" applyFill="1" applyBorder="1" applyAlignment="1">
      <alignment horizontal="center"/>
    </xf>
    <xf numFmtId="0" fontId="7" fillId="17" borderId="20" xfId="0" applyFont="1" applyFill="1" applyBorder="1" applyAlignment="1">
      <alignment horizontal="center"/>
    </xf>
    <xf numFmtId="0" fontId="7" fillId="18" borderId="20" xfId="0" applyFont="1" applyFill="1" applyBorder="1" applyAlignment="1">
      <alignment horizontal="center"/>
    </xf>
    <xf numFmtId="0" fontId="7" fillId="20" borderId="20" xfId="0" applyFont="1" applyFill="1" applyBorder="1" applyAlignment="1">
      <alignment horizontal="center"/>
    </xf>
    <xf numFmtId="0" fontId="7" fillId="25" borderId="20" xfId="0" applyFont="1" applyFill="1" applyBorder="1" applyAlignment="1">
      <alignment horizontal="center"/>
    </xf>
    <xf numFmtId="0" fontId="7" fillId="24" borderId="20" xfId="0" applyFont="1" applyFill="1" applyBorder="1" applyAlignment="1">
      <alignment horizontal="center"/>
    </xf>
    <xf numFmtId="0" fontId="7" fillId="23" borderId="20" xfId="0" applyFont="1" applyFill="1" applyBorder="1" applyAlignment="1">
      <alignment horizontal="center"/>
    </xf>
    <xf numFmtId="0" fontId="7" fillId="22" borderId="20" xfId="0" applyFont="1" applyFill="1" applyBorder="1" applyAlignment="1">
      <alignment horizontal="center"/>
    </xf>
    <xf numFmtId="0" fontId="7" fillId="21" borderId="20" xfId="0" applyFont="1" applyFill="1" applyBorder="1" applyAlignment="1">
      <alignment horizontal="center"/>
    </xf>
    <xf numFmtId="0" fontId="7" fillId="19" borderId="20" xfId="0" applyFont="1" applyFill="1" applyBorder="1" applyAlignment="1">
      <alignment horizontal="center"/>
    </xf>
    <xf numFmtId="0" fontId="7" fillId="26" borderId="20" xfId="0" applyFont="1" applyFill="1" applyBorder="1" applyAlignment="1">
      <alignment horizontal="center"/>
    </xf>
    <xf numFmtId="0" fontId="7" fillId="7" borderId="20" xfId="0" applyFont="1" applyFill="1" applyBorder="1" applyAlignment="1">
      <alignment horizontal="center"/>
    </xf>
    <xf numFmtId="0" fontId="7" fillId="27" borderId="20" xfId="0" applyFont="1" applyFill="1" applyBorder="1" applyAlignment="1">
      <alignment horizontal="center"/>
    </xf>
    <xf numFmtId="0" fontId="7" fillId="28" borderId="20" xfId="0" applyFont="1" applyFill="1" applyBorder="1" applyAlignment="1">
      <alignment horizontal="center"/>
    </xf>
    <xf numFmtId="0" fontId="7" fillId="29" borderId="20" xfId="0" applyFont="1" applyFill="1" applyBorder="1" applyAlignment="1">
      <alignment horizontal="center"/>
    </xf>
    <xf numFmtId="0" fontId="7" fillId="30" borderId="20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0" borderId="19" xfId="0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3" borderId="22" xfId="0" applyFill="1" applyBorder="1" applyAlignment="1">
      <alignment horizontal="left"/>
    </xf>
    <xf numFmtId="0" fontId="0" fillId="3" borderId="22" xfId="0" applyFill="1" applyBorder="1"/>
    <xf numFmtId="0" fontId="0" fillId="0" borderId="24" xfId="0" applyBorder="1"/>
    <xf numFmtId="0" fontId="0" fillId="0" borderId="25" xfId="0" applyBorder="1"/>
    <xf numFmtId="0" fontId="0" fillId="0" borderId="22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7" xfId="0" applyBorder="1"/>
    <xf numFmtId="0" fontId="0" fillId="0" borderId="28" xfId="0" applyBorder="1"/>
    <xf numFmtId="0" fontId="0" fillId="0" borderId="26" xfId="0" applyBorder="1"/>
    <xf numFmtId="0" fontId="0" fillId="3" borderId="26" xfId="0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F9F1"/>
      <color rgb="FFD8EACC"/>
      <color rgb="FFBDDBA9"/>
      <color rgb="FF8FC36B"/>
      <color rgb="FF6DA945"/>
      <color rgb="FFF3F9DB"/>
      <color rgb="FFE0F1A3"/>
      <color rgb="FFAAE185"/>
      <color rgb="FFF2AA7E"/>
      <color rgb="FFFA76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311150</xdr:colOff>
      <xdr:row>7</xdr:row>
      <xdr:rowOff>130174</xdr:rowOff>
    </xdr:from>
    <xdr:ext cx="5572125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BFD498C-8C17-C5D0-4C54-6FC2CA28A128}"/>
            </a:ext>
          </a:extLst>
        </xdr:cNvPr>
        <xdr:cNvSpPr txBox="1"/>
      </xdr:nvSpPr>
      <xdr:spPr>
        <a:xfrm>
          <a:off x="4032250" y="1419224"/>
          <a:ext cx="5572125" cy="436786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For all of the items on the top row, we need more explicit labels.  I suggest using the defintions that yoiu have already noted for most of them.  See 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ogineni, Dharmik" id="{69B5AA9E-DE6C-4A1A-85A1-7B682E1F8394}" userId="Dharmik.Gogineni@analog.com" providerId="PeoplePicker"/>
  <person displayName="Jones, Del" id="{2311BFDA-5CFE-40FF-9B91-1F28F444907A}" userId="S::Del.Jones@analog.com::507d1dde-0ca6-457e-8300-16b858c8ec8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2" dT="2023-02-20T22:20:12.76" personId="{2311BFDA-5CFE-40FF-9B91-1F28F444907A}" id="{EB6141B8-875B-43DF-B193-52D4F9ED557D}">
    <text>@Gogineni, Dharmik, feel free to suggest more appropriate column headings</text>
    <mentions>
      <mention mentionpersonId="{69B5AA9E-DE6C-4A1A-85A1-7B682E1F8394}" mentionId="{BBDFB44A-B713-4F4C-9CB6-9D1C96CA407A}" startIndex="0" length="18"/>
    </mentions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W1" dT="2023-02-20T22:09:03.79" personId="{2311BFDA-5CFE-40FF-9B91-1F28F444907A}" id="{76AAC7B5-72EA-40A9-898A-BA9D559BB291}">
    <text>@Gogineni, Dharmik for each of these blue boxes, need a definiton or description on what it is</text>
    <mentions>
      <mention mentionpersonId="{69B5AA9E-DE6C-4A1A-85A1-7B682E1F8394}" mentionId="{44E07895-6BCF-41ED-813D-2F60B887ADC6}" startIndex="0" length="18"/>
    </mentions>
  </threadedComment>
  <threadedComment ref="AL1" dT="2023-02-20T22:17:00.49" personId="{2311BFDA-5CFE-40FF-9B91-1F28F444907A}" id="{5DFB11F5-D2DB-4D91-86BD-B982D9E80F7A}">
    <text>@Gogineni, Dharmik, for each of these blcok names will need more explicit naming or add another column for an explicit description...see the Sheet 3" tab  for a suggested format that is more user friendly...I already converted the formulas for the new format, including a LUT for the JESD mode</text>
    <mentions>
      <mention mentionpersonId="{69B5AA9E-DE6C-4A1A-85A1-7B682E1F8394}" mentionId="{28B4947D-D0CE-4D6D-8A02-3D731B10F932}" startIndex="0" length="18"/>
    </mentions>
  </threadedComment>
  <threadedComment ref="Z2" dT="2023-02-20T22:11:54.75" personId="{2311BFDA-5CFE-40FF-9B91-1F28F444907A}" id="{C6E190DA-2D7D-4139-B2C6-A74A5A189F1E}">
    <text>@Gogineni, Dharmik, I suggest having users enter the JESD204 mode number and then deriving the LMFS values.  Check "sheet 3"  where I have done this and made some formattng chages to make it more user friendly</text>
    <mentions>
      <mention mentionpersonId="{69B5AA9E-DE6C-4A1A-85A1-7B682E1F8394}" mentionId="{8AB28067-1A58-454A-B50D-E00C67D244E0}" startIndex="0" length="18"/>
    </mentions>
  </threadedComment>
  <threadedComment ref="AB2" dT="2023-02-20T20:22:46.00" personId="{2311BFDA-5CFE-40FF-9B91-1F28F444907A}" id="{572B3963-A8DC-4F75-AB37-398A3E91C5C5}">
    <text>Are F and S transposed?  There is not a valide mode wher LMFS = 2.2.1.2 but ehre is a 2.2.2.1</text>
  </threadedComment>
  <threadedComment ref="B6" dT="2023-02-20T22:09:40.07" personId="{2311BFDA-5CFE-40FF-9B91-1F28F444907A}" id="{0496176F-6D43-48AA-B2FD-BA3CED1AD2DB}">
    <text>@Gogineni, Dharmik are these n units of MCLK cycles or something else?</text>
    <mentions>
      <mention mentionpersonId="{69B5AA9E-DE6C-4A1A-85A1-7B682E1F8394}" mentionId="{8DA56647-2BD9-4D7B-9B45-7B0AC566ED0B}" startIndex="0" length="18"/>
    </mentions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BEF4-173A-401A-9B45-0C96B407E6BC}">
  <dimension ref="A1:M72"/>
  <sheetViews>
    <sheetView tabSelected="1" topLeftCell="A28" zoomScale="80" zoomScaleNormal="80" workbookViewId="0">
      <selection activeCell="F42" sqref="F42"/>
    </sheetView>
  </sheetViews>
  <sheetFormatPr defaultRowHeight="14.5" x14ac:dyDescent="0.35"/>
  <cols>
    <col min="1" max="1" width="21.81640625" customWidth="1"/>
    <col min="2" max="2" width="14.1796875" style="36" customWidth="1"/>
    <col min="3" max="3" width="17.54296875" customWidth="1"/>
    <col min="4" max="4" width="10.1796875" style="36" customWidth="1"/>
    <col min="5" max="6" width="18.54296875" customWidth="1"/>
    <col min="7" max="7" width="1.81640625" customWidth="1"/>
    <col min="8" max="8" width="26.1796875" customWidth="1"/>
    <col min="9" max="9" width="65.1796875" style="24" customWidth="1"/>
    <col min="10" max="10" width="36.453125" style="36" customWidth="1"/>
    <col min="11" max="11" width="27.26953125" customWidth="1"/>
    <col min="12" max="12" width="20.81640625" customWidth="1"/>
    <col min="13" max="13" width="24" customWidth="1"/>
    <col min="14" max="14" width="12.81640625" customWidth="1"/>
    <col min="17" max="19" width="17.81640625" customWidth="1"/>
  </cols>
  <sheetData>
    <row r="1" spans="1:13" x14ac:dyDescent="0.35">
      <c r="A1" s="4" t="s">
        <v>0</v>
      </c>
    </row>
    <row r="2" spans="1:13" x14ac:dyDescent="0.35">
      <c r="A2" s="5" t="s">
        <v>1</v>
      </c>
    </row>
    <row r="3" spans="1:13" x14ac:dyDescent="0.35">
      <c r="A3" s="7" t="s">
        <v>2</v>
      </c>
    </row>
    <row r="4" spans="1:13" x14ac:dyDescent="0.35">
      <c r="A4" t="s">
        <v>3</v>
      </c>
    </row>
    <row r="5" spans="1:13" ht="15" thickBot="1" x14ac:dyDescent="0.4"/>
    <row r="6" spans="1:13" x14ac:dyDescent="0.35">
      <c r="A6" s="94" t="s">
        <v>4</v>
      </c>
      <c r="B6" s="95"/>
      <c r="C6" s="95"/>
      <c r="D6" s="95"/>
      <c r="E6" s="95"/>
      <c r="F6" s="96"/>
    </row>
    <row r="7" spans="1:13" x14ac:dyDescent="0.35">
      <c r="A7" s="97"/>
      <c r="B7" s="98"/>
      <c r="C7" s="98"/>
      <c r="D7" s="98"/>
      <c r="E7" s="98"/>
      <c r="F7" s="99"/>
    </row>
    <row r="8" spans="1:13" x14ac:dyDescent="0.35">
      <c r="A8" s="97"/>
      <c r="B8" s="98"/>
      <c r="C8" s="98"/>
      <c r="D8" s="98"/>
      <c r="E8" s="98"/>
      <c r="F8" s="99"/>
    </row>
    <row r="9" spans="1:13" ht="15" thickBot="1" x14ac:dyDescent="0.4">
      <c r="A9" s="100"/>
      <c r="B9" s="101"/>
      <c r="C9" s="101"/>
      <c r="D9" s="101"/>
      <c r="E9" s="101"/>
      <c r="F9" s="102"/>
    </row>
    <row r="10" spans="1:13" ht="15" thickBot="1" x14ac:dyDescent="0.4"/>
    <row r="11" spans="1:13" x14ac:dyDescent="0.35">
      <c r="A11" s="92" t="s">
        <v>5</v>
      </c>
      <c r="B11" s="93"/>
      <c r="C11" s="92" t="s">
        <v>6</v>
      </c>
      <c r="D11" s="93"/>
      <c r="E11" s="92" t="s">
        <v>7</v>
      </c>
      <c r="F11" s="93"/>
      <c r="G11" s="38"/>
    </row>
    <row r="12" spans="1:13" ht="29.5" thickBot="1" x14ac:dyDescent="0.4">
      <c r="A12" s="14" t="s">
        <v>8</v>
      </c>
      <c r="B12" s="66" t="s">
        <v>9</v>
      </c>
      <c r="C12" s="14" t="s">
        <v>8</v>
      </c>
      <c r="D12" s="71" t="s">
        <v>9</v>
      </c>
      <c r="E12" s="14" t="s">
        <v>10</v>
      </c>
      <c r="F12" s="15" t="s">
        <v>11</v>
      </c>
      <c r="G12" s="39"/>
      <c r="H12" s="41" t="s">
        <v>12</v>
      </c>
      <c r="I12" s="24" t="s">
        <v>13</v>
      </c>
      <c r="J12" s="84"/>
      <c r="K12" s="85" t="s">
        <v>14</v>
      </c>
      <c r="L12" s="85" t="s">
        <v>15</v>
      </c>
      <c r="M12" s="85" t="s">
        <v>16</v>
      </c>
    </row>
    <row r="13" spans="1:13" ht="18" customHeight="1" thickTop="1" thickBot="1" x14ac:dyDescent="0.4">
      <c r="A13" s="33" t="s">
        <v>174</v>
      </c>
      <c r="B13" s="67" t="s">
        <v>138</v>
      </c>
      <c r="C13" s="34" t="s">
        <v>18</v>
      </c>
      <c r="D13" s="72">
        <f>IF(OR(B13="4T4R",B13="4T4R_LS"),0,1)</f>
        <v>0</v>
      </c>
      <c r="E13" s="35" t="s">
        <v>19</v>
      </c>
      <c r="F13" s="78">
        <f>IF(D13=0,IF(B14=1,rx_adc_delay_4t4r_rand_min,0)+IF(B15,rx_adc_delay_4t4r_seq_min,0),IF(B14=1,rx_adc_delay_8t8r_rand_min,0)+IF(B15,rx_adc_delay_8t8r_seq_min,0))</f>
        <v>561</v>
      </c>
      <c r="G13" s="39"/>
      <c r="H13" s="42" t="s">
        <v>20</v>
      </c>
      <c r="I13" s="24" t="str">
        <f>IF(B30=0,IF(SUM(B34:B35)+B26&gt;0,"ERROR:fddc bmem,fsrc,cfir are to be enabled only in fine enable cases",""),"")</f>
        <v/>
      </c>
      <c r="J13" s="80" t="s">
        <v>21</v>
      </c>
      <c r="K13" s="87">
        <f>3*IF(D13=1,4,8)</f>
        <v>24</v>
      </c>
      <c r="L13" s="87"/>
      <c r="M13" s="86"/>
    </row>
    <row r="14" spans="1:13" ht="18" customHeight="1" thickTop="1" thickBot="1" x14ac:dyDescent="0.4">
      <c r="A14" s="33" t="s">
        <v>22</v>
      </c>
      <c r="B14" s="67">
        <v>0</v>
      </c>
      <c r="C14" s="28" t="s">
        <v>23</v>
      </c>
      <c r="D14" s="73">
        <f>IF(OR(B13="8T8R_LS",B13="4T4R_LS"),1,0)</f>
        <v>0</v>
      </c>
      <c r="E14" s="35" t="s">
        <v>24</v>
      </c>
      <c r="F14" s="79">
        <f>IF(D13=0,IF(B14=1,rx_adc_delay_4t4r_rand_max,0)+IF(B15,rx_adc_delay_4t4r_seq_max,0),IF(B14=1,rx_adc_delay_8t8r_rand_max,0)+IF(B15,rx_adc_delay_8t8r_seq_max,0))</f>
        <v>564</v>
      </c>
      <c r="H14" s="42" t="s">
        <v>25</v>
      </c>
      <c r="I14" s="24" t="str">
        <f>IF(B18&gt;1,IF(B30=0,"ERROR:Fine bypass/FBW is not valid if fdec!=1",""),"")</f>
        <v/>
      </c>
      <c r="J14" s="80" t="s">
        <v>26</v>
      </c>
      <c r="K14" s="88">
        <f>6*IF(D13=1,4,8)</f>
        <v>48</v>
      </c>
      <c r="L14" s="88"/>
      <c r="M14" s="82"/>
    </row>
    <row r="15" spans="1:13" ht="18" customHeight="1" thickTop="1" thickBot="1" x14ac:dyDescent="0.4">
      <c r="A15" s="33" t="s">
        <v>27</v>
      </c>
      <c r="B15" s="67">
        <v>1</v>
      </c>
      <c r="C15" s="26"/>
      <c r="D15" s="73"/>
      <c r="E15" s="35" t="s">
        <v>28</v>
      </c>
      <c r="F15" s="77">
        <f>IF(B24=0,IF(D13=0,rx_hsdin_delay_4t4r_disabled,rx_hsdin_delay_8t8r_disabled),IF(D13=0,rx_hsdin_delay_4t4r_enabled,rx_hsdin_delay_8t8r_enabled))+B24*B19</f>
        <v>152</v>
      </c>
      <c r="H15" s="42" t="s">
        <v>29</v>
      </c>
      <c r="I15" s="24" t="str">
        <f>IF(B35=1,IF(D36&gt;4,"ERROR:M can't be greater than 4 in fsrc case",""),"")</f>
        <v/>
      </c>
      <c r="J15" s="80" t="s">
        <v>30</v>
      </c>
      <c r="K15" s="88">
        <f>13*IF(D13=1,4,8)</f>
        <v>104</v>
      </c>
      <c r="L15" s="88"/>
      <c r="M15" s="82"/>
    </row>
    <row r="16" spans="1:13" ht="16.399999999999999" customHeight="1" thickTop="1" thickBot="1" x14ac:dyDescent="0.4">
      <c r="A16" s="25" t="s">
        <v>31</v>
      </c>
      <c r="B16" s="68">
        <v>4</v>
      </c>
      <c r="C16" s="26"/>
      <c r="D16" s="73"/>
      <c r="E16" s="32" t="s">
        <v>32</v>
      </c>
      <c r="F16" s="29">
        <f>IF(D13=1,rx_hsdin_o_lnrx_i_fifo_delay_8t8r,rx_hsdin_o_lnrx_i_fifo_delay_4t4r)</f>
        <v>64</v>
      </c>
      <c r="H16" s="43" t="s">
        <v>33</v>
      </c>
      <c r="I16" s="24" t="str">
        <f>IF(D13=0,IF(D36&gt;8,"ERROR:M can't be greater than 8 in 4t4r case",(IF(AND(B30=0,D36&gt;4),"ERROR:4t4r fine_bypass case M should be less than or equal to 4",""))),"")</f>
        <v/>
      </c>
      <c r="J16" s="80" t="s">
        <v>34</v>
      </c>
      <c r="K16" s="88">
        <f>IF(D13=1,4,8)*18</f>
        <v>144</v>
      </c>
      <c r="L16" s="88"/>
      <c r="M16" s="82"/>
    </row>
    <row r="17" spans="1:13" ht="19.75" hidden="1" customHeight="1" thickTop="1" thickBot="1" x14ac:dyDescent="0.4">
      <c r="A17" s="25"/>
      <c r="B17" s="68"/>
      <c r="C17" s="26"/>
      <c r="D17" s="73">
        <f>10000*(D13*2+D14)+100*B16+B18</f>
        <v>404</v>
      </c>
      <c r="E17" s="32"/>
      <c r="F17" s="29"/>
      <c r="H17" s="43"/>
      <c r="J17" s="80"/>
      <c r="K17" s="88"/>
      <c r="L17" s="88"/>
      <c r="M17" s="82"/>
    </row>
    <row r="18" spans="1:13" ht="18" customHeight="1" thickTop="1" thickBot="1" x14ac:dyDescent="0.4">
      <c r="A18" s="25" t="s">
        <v>35</v>
      </c>
      <c r="B18" s="68">
        <v>4</v>
      </c>
      <c r="C18" s="26"/>
      <c r="D18" s="73"/>
      <c r="E18" s="32" t="s">
        <v>36</v>
      </c>
      <c r="F18" s="29">
        <f>IF(B27=1,IF(D13=0,rx_lnrx_delay_4t4r_enabled,rx_lnrx_delay_8t8r_enabled),0)</f>
        <v>0</v>
      </c>
      <c r="H18" s="44" t="s">
        <v>37</v>
      </c>
      <c r="I18" s="24" t="str">
        <f>IF(B35=1,IF(AND(B23&gt;=1,B23&lt;2),"","ERROR:Fsrc decimation out of range"),"")</f>
        <v/>
      </c>
      <c r="J18" s="81" t="s">
        <v>38</v>
      </c>
      <c r="K18" s="88">
        <f>IF(D13=1,4,8)*17</f>
        <v>136</v>
      </c>
      <c r="L18" s="88"/>
      <c r="M18" s="82"/>
    </row>
    <row r="19" spans="1:13" ht="30.65" customHeight="1" thickTop="1" thickBot="1" x14ac:dyDescent="0.4">
      <c r="A19" s="25" t="s">
        <v>39</v>
      </c>
      <c r="B19" s="68">
        <v>0</v>
      </c>
      <c r="C19" s="28" t="s">
        <v>40</v>
      </c>
      <c r="D19" s="73">
        <f>B16*B18</f>
        <v>16</v>
      </c>
      <c r="E19" s="32" t="s">
        <v>41</v>
      </c>
      <c r="F19" s="29">
        <f>IF(D13=1,rx_lnrx_o_pfilt_I_delay_8t8r,rx_lnrx_o_pfilt_I_delay_4t4r)</f>
        <v>64</v>
      </c>
      <c r="H19" s="45" t="s">
        <v>42</v>
      </c>
      <c r="I19" s="24" t="str">
        <f>IF(ISNA(F25),"Please check the cdec and fdec configuration.Refer 'ddc_selection' Sheet for valid cases","")</f>
        <v/>
      </c>
      <c r="J19" s="81" t="s">
        <v>43</v>
      </c>
      <c r="K19" s="88">
        <f>IF(D13=1,4,8)*10</f>
        <v>80</v>
      </c>
      <c r="L19" s="88"/>
      <c r="M19" s="82"/>
    </row>
    <row r="20" spans="1:13" ht="19.75" hidden="1" customHeight="1" thickTop="1" thickBot="1" x14ac:dyDescent="0.4">
      <c r="A20" s="25"/>
      <c r="B20" s="68"/>
      <c r="C20" s="28"/>
      <c r="D20" s="74">
        <f>10*D34+D36</f>
        <v>24</v>
      </c>
      <c r="E20" s="32"/>
      <c r="F20" s="29"/>
      <c r="H20" s="45"/>
      <c r="J20" s="81"/>
      <c r="K20" s="88"/>
      <c r="L20" s="88"/>
      <c r="M20" s="82"/>
    </row>
    <row r="21" spans="1:13" ht="28.5" customHeight="1" thickTop="1" thickBot="1" x14ac:dyDescent="0.4">
      <c r="A21" s="25" t="s">
        <v>44</v>
      </c>
      <c r="B21" s="68">
        <v>0</v>
      </c>
      <c r="C21" s="28" t="s">
        <v>45</v>
      </c>
      <c r="D21" s="91">
        <f>IF(B35=1,_xlfn.FLOOR.MATH(D19*B23),D19)</f>
        <v>25</v>
      </c>
      <c r="E21" s="32" t="s">
        <v>46</v>
      </c>
      <c r="F21" s="29">
        <f>IF(B28=1,VLOOKUP(B29,pfilt!A2:C6,IF(D13=0,2,3),0),IF(D13=1,pfilt_delay_8t8r_disabled,pfilt_delay_4t4r_disabled))</f>
        <v>64</v>
      </c>
      <c r="H21" s="46" t="s">
        <v>47</v>
      </c>
      <c r="I21" s="24" t="str">
        <f>IF(AND(MOD(D29,3)=0,B19=1),"ERROR:FBW modes are only valid for S%3==0","")</f>
        <v/>
      </c>
      <c r="J21" s="80" t="s">
        <v>48</v>
      </c>
      <c r="K21" s="88">
        <f>(IF(D13=1,4,8)*33+(IF(D13=1,16,32)*8))*(B31*(IF(AND(D19=1,B30=0),0,1)))</f>
        <v>520</v>
      </c>
      <c r="L21" s="88">
        <f>IF(D13=1,16,32)*10*(B31*(IF(AND(D19=1,B30=0),0,1)))</f>
        <v>320</v>
      </c>
      <c r="M21" s="82">
        <f t="shared" ref="M21:M28" si="0">L21</f>
        <v>320</v>
      </c>
    </row>
    <row r="22" spans="1:13" ht="18" customHeight="1" thickTop="1" thickBot="1" x14ac:dyDescent="0.4">
      <c r="A22" s="25" t="s">
        <v>49</v>
      </c>
      <c r="B22" s="68">
        <v>0</v>
      </c>
      <c r="C22" s="30" t="s">
        <v>50</v>
      </c>
      <c r="D22" s="73">
        <f>IF(B30=1,IF(D19&lt;rx_ddc_ns_link_ddc_limit_32,IF(B13="8T8R",1,rx_ddc_ns_limit_32_4t4r_coeff),1)*IF(D19&lt;rx_ddc_ns_link_ddc_limit_16,rx_ddc_ns_limit_16_coeff,1)*IF(D19&lt;rx_ddc_ns_link_ddc_limit_8,rx_ddc_ns_limit_8_coeff,1)*IF(AND(D19&lt;rx_ddc_ns_link_ddc_limit_32,OR(B13="4T4R_LS",B13="8T8R_LS")),IF(OR(D19=rx_ddc_ns_ls_en_link_ddc_1,D19=rx_ddc_ns_ls_en_link_ddc_3),1,rx_ddc_ns_ls_en_default_coeff),1),VLOOKUP(D17,DDC_NS!E2:F36,2))</f>
        <v>2</v>
      </c>
      <c r="E22" s="32" t="s">
        <v>51</v>
      </c>
      <c r="F22" s="29">
        <f>IF(D13=1,rx_pfilt_o_fine_in_delay_8t8r,rx_pfilt_o_fine_in_delay_4t4r)</f>
        <v>64</v>
      </c>
      <c r="H22" s="47" t="s">
        <v>52</v>
      </c>
      <c r="I22" s="24" t="str">
        <f>IF(B35+B33&gt;1,"Upsampler is to disabled in fsrc cases","")</f>
        <v/>
      </c>
      <c r="J22" s="80" t="s">
        <v>53</v>
      </c>
      <c r="K22" s="88">
        <f>(39*IF(D13=1,4,8)+14*VLOOKUP(D17,ddc_selection!F2:L139,7,0))*B31*B30</f>
        <v>760</v>
      </c>
      <c r="L22" s="88">
        <f>VLOOKUP(D17,ddc_selection!F2:L139,7,0)*16*B31*B30</f>
        <v>512</v>
      </c>
      <c r="M22" s="82">
        <f t="shared" si="0"/>
        <v>512</v>
      </c>
    </row>
    <row r="23" spans="1:13" ht="18" customHeight="1" thickTop="1" thickBot="1" x14ac:dyDescent="0.4">
      <c r="A23" s="25" t="s">
        <v>54</v>
      </c>
      <c r="B23" s="68">
        <v>1.6</v>
      </c>
      <c r="C23" s="30" t="s">
        <v>55</v>
      </c>
      <c r="D23" s="73">
        <f>IF(B35=1,rx_ns_conv_ns_fsrc_en,MAX(D38,D22))</f>
        <v>8</v>
      </c>
      <c r="E23" s="32" t="s">
        <v>56</v>
      </c>
      <c r="F23" s="29">
        <f>IF(B25=1,VLOOKUP(D17,bmem!F2:I137,IF(B25=1,2,4),0),0)+B16*B21*B25</f>
        <v>0</v>
      </c>
      <c r="H23" s="48" t="s">
        <v>57</v>
      </c>
      <c r="J23" s="80" t="s">
        <v>58</v>
      </c>
      <c r="K23" s="88">
        <f>IF(D13=1,4,8)*24</f>
        <v>192</v>
      </c>
      <c r="L23" s="88">
        <f>IF(D13=1,16,32)*9</f>
        <v>288</v>
      </c>
      <c r="M23" s="82">
        <f t="shared" si="0"/>
        <v>288</v>
      </c>
    </row>
    <row r="24" spans="1:13" ht="18" customHeight="1" thickTop="1" thickBot="1" x14ac:dyDescent="0.4">
      <c r="A24" s="25" t="s">
        <v>59</v>
      </c>
      <c r="B24" s="68">
        <v>0</v>
      </c>
      <c r="C24" s="30" t="s">
        <v>60</v>
      </c>
      <c r="D24" s="73">
        <f>IF((MOD(D38,rx_jtx_ns_mod)=0),IF(OR(B13="4T4R",B13="4T4R_LS"),rx_jtx_ns_4t4r,rx_jtx_ns_8t8r),D23)</f>
        <v>8</v>
      </c>
      <c r="E24" s="32" t="s">
        <v>61</v>
      </c>
      <c r="F24" s="29">
        <f>IF(B26=1,VLOOKUP(D17,bmem!F2:I137,IF(B26=1,3,4),0),0)+D19*B22*B30*B26</f>
        <v>0</v>
      </c>
      <c r="H24" s="49" t="s">
        <v>62</v>
      </c>
      <c r="J24" s="80" t="s">
        <v>63</v>
      </c>
      <c r="K24" s="88">
        <f>7*(D19*D34)*B30</f>
        <v>224</v>
      </c>
      <c r="L24" s="88">
        <f>9*(D19*D34)*B30</f>
        <v>288</v>
      </c>
      <c r="M24" s="82">
        <f t="shared" si="0"/>
        <v>288</v>
      </c>
    </row>
    <row r="25" spans="1:13" ht="18" customHeight="1" thickTop="1" thickBot="1" x14ac:dyDescent="0.4">
      <c r="A25" s="25" t="s">
        <v>64</v>
      </c>
      <c r="B25" s="68">
        <v>0</v>
      </c>
      <c r="C25" s="30" t="s">
        <v>65</v>
      </c>
      <c r="D25" s="73">
        <f>D24/D23</f>
        <v>1</v>
      </c>
      <c r="E25" s="32" t="s">
        <v>66</v>
      </c>
      <c r="F25" s="29">
        <f>VLOOKUP(D17,ddc_selection!F2:J139,IF(B30=1,IF(B31=1,2,3),IF(B31=1,4,5)),0)</f>
        <v>2216</v>
      </c>
      <c r="H25" s="50" t="s">
        <v>67</v>
      </c>
      <c r="J25" s="80" t="s">
        <v>68</v>
      </c>
      <c r="K25" s="88">
        <f>IF(D13=1,16,32)*9*(B31*(IF(AND(D19=1,B30=0),0,1)))</f>
        <v>288</v>
      </c>
      <c r="L25" s="88">
        <f>IF(D13=1,16,32)*9*(B31*(IF(AND(D19=1,B30=0),0,1)))</f>
        <v>288</v>
      </c>
      <c r="M25" s="82">
        <f t="shared" si="0"/>
        <v>288</v>
      </c>
    </row>
    <row r="26" spans="1:13" ht="18" customHeight="1" thickTop="1" thickBot="1" x14ac:dyDescent="0.4">
      <c r="A26" s="25" t="s">
        <v>69</v>
      </c>
      <c r="B26" s="68">
        <v>0</v>
      </c>
      <c r="C26" s="30" t="s">
        <v>70</v>
      </c>
      <c r="D26" s="73">
        <f>D21*(D38/D37)*IF(B37="JESD204B",rx_pclk_jesd_b_coeff,rx_pclk_jesd_c_coeff)</f>
        <v>200</v>
      </c>
      <c r="E26" s="32" t="s">
        <v>71</v>
      </c>
      <c r="F26" s="29">
        <f>IF(B30=1,D19,rx_fine_dly_variation_coeff*B16)</f>
        <v>16</v>
      </c>
      <c r="H26" s="51" t="s">
        <v>72</v>
      </c>
      <c r="J26" s="80" t="s">
        <v>73</v>
      </c>
      <c r="K26" s="88">
        <f>VLOOKUP(D17,ddc_selection!F2:L139,7,0)*15*B31*B30</f>
        <v>480</v>
      </c>
      <c r="L26" s="88">
        <f>VLOOKUP(D17,ddc_selection!F2:L139,7,0)*15*B31*B30</f>
        <v>480</v>
      </c>
      <c r="M26" s="82">
        <f t="shared" si="0"/>
        <v>480</v>
      </c>
    </row>
    <row r="27" spans="1:13" ht="18" customHeight="1" thickTop="1" thickBot="1" x14ac:dyDescent="0.4">
      <c r="A27" s="25" t="s">
        <v>74</v>
      </c>
      <c r="B27" s="68">
        <v>0</v>
      </c>
      <c r="C27" s="30" t="s">
        <v>75</v>
      </c>
      <c r="D27" s="73">
        <f>(D21*D24)</f>
        <v>200</v>
      </c>
      <c r="E27" s="32" t="s">
        <v>76</v>
      </c>
      <c r="F27" s="29">
        <f>rx_fine_o_cfir_in_coeff*D34*D19*B30</f>
        <v>64</v>
      </c>
      <c r="H27" s="52" t="s">
        <v>77</v>
      </c>
      <c r="J27" s="80" t="s">
        <v>78</v>
      </c>
      <c r="K27" s="88">
        <f>IF(D23=1,4,8)*8</f>
        <v>64</v>
      </c>
      <c r="L27" s="88">
        <f>IF(D13=1,16,32)*2</f>
        <v>64</v>
      </c>
      <c r="M27" s="82">
        <f t="shared" si="0"/>
        <v>64</v>
      </c>
    </row>
    <row r="28" spans="1:13" ht="18" customHeight="1" thickTop="1" thickBot="1" x14ac:dyDescent="0.4">
      <c r="A28" s="25" t="s">
        <v>79</v>
      </c>
      <c r="B28" s="68">
        <v>0</v>
      </c>
      <c r="C28" s="30" t="s">
        <v>80</v>
      </c>
      <c r="D28" s="73">
        <f>D27/D26</f>
        <v>1</v>
      </c>
      <c r="E28" s="32" t="s">
        <v>81</v>
      </c>
      <c r="F28" s="29">
        <f>IF(B34,VLOOKUP(D17,ddc_selection!F2:K139,6,0),0)*B30</f>
        <v>0</v>
      </c>
      <c r="H28" s="53" t="s">
        <v>82</v>
      </c>
      <c r="J28" s="80" t="s">
        <v>83</v>
      </c>
      <c r="K28" s="89">
        <f>5*(D19*D34)*B30</f>
        <v>160</v>
      </c>
      <c r="L28" s="89">
        <f>5*(D19*D34)*B30</f>
        <v>160</v>
      </c>
      <c r="M28" s="83">
        <f t="shared" si="0"/>
        <v>160</v>
      </c>
    </row>
    <row r="29" spans="1:13" ht="18" customHeight="1" thickTop="1" thickBot="1" x14ac:dyDescent="0.4">
      <c r="A29" s="25" t="s">
        <v>84</v>
      </c>
      <c r="B29" s="68" t="s">
        <v>85</v>
      </c>
      <c r="C29" s="26"/>
      <c r="D29" s="73"/>
      <c r="E29" s="32" t="s">
        <v>86</v>
      </c>
      <c r="F29" s="29">
        <f>IF(B35=1,rx_fsrc_ungated_coeff*D19*D34+rx_fsrc_ungated_add,0)*B30</f>
        <v>327</v>
      </c>
      <c r="H29" s="54" t="s">
        <v>87</v>
      </c>
      <c r="J29" s="90"/>
      <c r="K29" s="88"/>
      <c r="L29" s="88"/>
      <c r="M29" s="82"/>
    </row>
    <row r="30" spans="1:13" ht="15.5" thickTop="1" thickBot="1" x14ac:dyDescent="0.4">
      <c r="A30" s="25" t="s">
        <v>88</v>
      </c>
      <c r="B30" s="68">
        <v>1</v>
      </c>
      <c r="C30" s="26"/>
      <c r="D30" s="73"/>
      <c r="E30" s="32" t="s">
        <v>89</v>
      </c>
      <c r="F30" s="29">
        <f>IF(B35=1,rx_fsrc_ungated_var_coeff*D19*D34,0)*B30</f>
        <v>64</v>
      </c>
      <c r="H30" s="55" t="s">
        <v>90</v>
      </c>
      <c r="J30" s="80" t="s">
        <v>91</v>
      </c>
      <c r="K30" s="88">
        <f>K13+K14+K15+K21</f>
        <v>696</v>
      </c>
      <c r="L30" s="88">
        <f>L13+L14+L15+L21</f>
        <v>320</v>
      </c>
      <c r="M30" s="82">
        <f>M13+M14+M15+M21</f>
        <v>320</v>
      </c>
    </row>
    <row r="31" spans="1:13" ht="18" customHeight="1" thickTop="1" thickBot="1" x14ac:dyDescent="0.4">
      <c r="A31" s="25" t="s">
        <v>92</v>
      </c>
      <c r="B31" s="68">
        <v>1</v>
      </c>
      <c r="C31" s="26"/>
      <c r="D31" s="73"/>
      <c r="E31" s="32" t="s">
        <v>93</v>
      </c>
      <c r="F31" s="29">
        <f>ROUND(IF(B35=1,rx_fsrc_fifo_coeff*D19*B23*D34,0)*B30,2)</f>
        <v>153.6</v>
      </c>
      <c r="H31" s="56" t="s">
        <v>94</v>
      </c>
      <c r="J31" s="80" t="s">
        <v>95</v>
      </c>
      <c r="K31" s="88">
        <f>K30+K25</f>
        <v>984</v>
      </c>
      <c r="L31" s="88">
        <f>L30+L25</f>
        <v>608</v>
      </c>
      <c r="M31" s="82">
        <f>M30+M25</f>
        <v>608</v>
      </c>
    </row>
    <row r="32" spans="1:13" ht="16.5" hidden="1" customHeight="1" thickTop="1" thickBot="1" x14ac:dyDescent="0.4">
      <c r="A32" s="25"/>
      <c r="B32" s="68"/>
      <c r="C32" s="26"/>
      <c r="D32" s="73">
        <f>IF(D14=1,1/(rx_active_sample_ls_en_sub-MOD(B16,rx_active_sample_ls_en_cdec_mod_2)),1)*IF(MOD(B16,rx_active_sample_cdec_mod_12)=0,rx_active_sample_cdec_mod_coeff_2,rx_active_sample_cdec_mod_coeff_4)*IF(D13=0,rx_active_sample_4t4r_coeff,1)</f>
        <v>8</v>
      </c>
      <c r="E32" s="32"/>
      <c r="F32" s="29"/>
      <c r="H32" s="56"/>
      <c r="J32" s="80"/>
      <c r="K32" s="88"/>
      <c r="L32" s="88"/>
      <c r="M32" s="82"/>
    </row>
    <row r="33" spans="1:13" ht="18" customHeight="1" thickTop="1" thickBot="1" x14ac:dyDescent="0.4">
      <c r="A33" s="25" t="s">
        <v>96</v>
      </c>
      <c r="B33" s="68">
        <v>0</v>
      </c>
      <c r="C33" s="26"/>
      <c r="D33" s="73"/>
      <c r="E33" s="32" t="s">
        <v>89</v>
      </c>
      <c r="F33" s="29">
        <f>IF(B35=1,rx_fsrc_fifo_var_coeff*D19*B23*D34,0)*B30</f>
        <v>102.4</v>
      </c>
      <c r="H33" s="57" t="s">
        <v>97</v>
      </c>
      <c r="J33" s="80" t="s">
        <v>98</v>
      </c>
      <c r="K33" s="88">
        <f>K13+K14+K16+K22</f>
        <v>976</v>
      </c>
      <c r="L33" s="88">
        <f>L13+L14+L16+L22</f>
        <v>512</v>
      </c>
      <c r="M33" s="82">
        <f>M13+M14+M16+M22</f>
        <v>512</v>
      </c>
    </row>
    <row r="34" spans="1:13" ht="18" customHeight="1" thickTop="1" thickBot="1" x14ac:dyDescent="0.4">
      <c r="A34" s="25" t="s">
        <v>99</v>
      </c>
      <c r="B34" s="68">
        <v>0</v>
      </c>
      <c r="C34" s="28" t="s">
        <v>100</v>
      </c>
      <c r="D34" s="75">
        <f>IF(B30=1,IF(B18&lt;D32,D32/B18,1),VLOOKUP(D17,DDC_NS!E2:F36,2))</f>
        <v>2</v>
      </c>
      <c r="E34" s="32" t="s">
        <v>101</v>
      </c>
      <c r="F34" s="29">
        <f>ROUND(IF(B35=1,VLOOKUP(D20,fsrc_gated!C2:E8,2,0),0)*B30*D19*B23*D34,2)</f>
        <v>944.64</v>
      </c>
      <c r="H34" s="58" t="s">
        <v>102</v>
      </c>
      <c r="J34" s="80" t="s">
        <v>103</v>
      </c>
      <c r="K34" s="88">
        <f>K33+K26</f>
        <v>1456</v>
      </c>
      <c r="L34" s="88">
        <f>L33+L26</f>
        <v>992</v>
      </c>
      <c r="M34" s="82">
        <f>M33+M26</f>
        <v>992</v>
      </c>
    </row>
    <row r="35" spans="1:13" ht="18" customHeight="1" thickTop="1" thickBot="1" x14ac:dyDescent="0.4">
      <c r="A35" s="25" t="s">
        <v>104</v>
      </c>
      <c r="B35" s="68">
        <v>1</v>
      </c>
      <c r="C35" s="28" t="s">
        <v>105</v>
      </c>
      <c r="D35" s="75">
        <f>VLOOKUP(B38,'JESD Mode LUT'!A3:E80,2,FALSE)</f>
        <v>8</v>
      </c>
      <c r="E35" s="32" t="s">
        <v>106</v>
      </c>
      <c r="F35" s="29">
        <f>ROUND(IF(B35=1,VLOOKUP(D20,fsrc_gated!C2:E8,3,0)-VLOOKUP(D20,fsrc_gated!C2:E8,2,0),0)*B30*D19*B23*D34,2)</f>
        <v>58.88</v>
      </c>
      <c r="H35" s="59" t="s">
        <v>107</v>
      </c>
      <c r="J35" s="80" t="s">
        <v>108</v>
      </c>
      <c r="K35" s="88">
        <f>K13+K14+K18+K23</f>
        <v>400</v>
      </c>
      <c r="L35" s="88">
        <f>L13+L14+L18+L23</f>
        <v>288</v>
      </c>
      <c r="M35" s="82">
        <f>M13+M14+M18+M23</f>
        <v>288</v>
      </c>
    </row>
    <row r="36" spans="1:13" ht="18" customHeight="1" thickTop="1" thickBot="1" x14ac:dyDescent="0.4">
      <c r="A36" s="25" t="s">
        <v>109</v>
      </c>
      <c r="B36" s="68">
        <v>0</v>
      </c>
      <c r="C36" s="28" t="s">
        <v>110</v>
      </c>
      <c r="D36" s="75">
        <f>VLOOKUP(B38,'JESD Mode LUT'!A3:E80,3,FALSE)</f>
        <v>4</v>
      </c>
      <c r="E36" s="32" t="s">
        <v>111</v>
      </c>
      <c r="F36" s="29">
        <f>IF(B33=1,(rx_upsampler_add+(rx_upsampler_coeff/D34))*D34*D19,0)</f>
        <v>0</v>
      </c>
      <c r="H36" s="59" t="s">
        <v>112</v>
      </c>
      <c r="J36" s="80" t="s">
        <v>113</v>
      </c>
      <c r="K36" s="88">
        <f>K35+K27</f>
        <v>464</v>
      </c>
      <c r="L36" s="88">
        <f>L35+L27</f>
        <v>352</v>
      </c>
      <c r="M36" s="82">
        <f>M35+M27</f>
        <v>352</v>
      </c>
    </row>
    <row r="37" spans="1:13" ht="18" customHeight="1" thickTop="1" thickBot="1" x14ac:dyDescent="0.4">
      <c r="A37" s="25" t="s">
        <v>114</v>
      </c>
      <c r="B37" s="68" t="s">
        <v>115</v>
      </c>
      <c r="C37" s="28" t="s">
        <v>116</v>
      </c>
      <c r="D37" s="75">
        <f>VLOOKUP(B38,'JESD Mode LUT'!A3:E80,4,FALSE)</f>
        <v>1</v>
      </c>
      <c r="E37" s="32" t="s">
        <v>117</v>
      </c>
      <c r="F37" s="29">
        <f>ROUND((IF(B30=0,rx_ns_add_fine_dis,rx_ns_add_fine_en)+(D23/IF(B30=0,D22,IF(B33=0,D34,D22))))*D19*IF(B35=1,B23,1)*IF(B30=0,D22,IF(B33=0,D34,D22)),2)</f>
        <v>307.2</v>
      </c>
      <c r="H37" s="60" t="s">
        <v>118</v>
      </c>
      <c r="J37" s="80" t="s">
        <v>119</v>
      </c>
      <c r="K37" s="88">
        <f>K13+K14+K24+K19</f>
        <v>376</v>
      </c>
      <c r="L37" s="88">
        <f>L13+L14+L24+L19</f>
        <v>288</v>
      </c>
      <c r="M37" s="82">
        <f>M13+M14+M24+M19</f>
        <v>288</v>
      </c>
    </row>
    <row r="38" spans="1:13" ht="18" customHeight="1" thickTop="1" thickBot="1" x14ac:dyDescent="0.4">
      <c r="A38" s="27" t="s">
        <v>120</v>
      </c>
      <c r="B38" s="69">
        <v>47</v>
      </c>
      <c r="C38" s="31" t="s">
        <v>121</v>
      </c>
      <c r="D38" s="76">
        <f>VLOOKUP(B38,'JESD Mode LUT'!A3:E80,5,FALSE)</f>
        <v>1</v>
      </c>
      <c r="E38" s="32" t="s">
        <v>122</v>
      </c>
      <c r="F38" s="29">
        <f>ROUND(rx_rm_fifo_min_coeff*D21*D24*B30,2)</f>
        <v>400</v>
      </c>
      <c r="H38" s="61" t="s">
        <v>123</v>
      </c>
      <c r="J38" s="80" t="s">
        <v>124</v>
      </c>
      <c r="K38" s="89">
        <f>K37+K28</f>
        <v>536</v>
      </c>
      <c r="L38" s="89">
        <f>L37+L28</f>
        <v>448</v>
      </c>
      <c r="M38" s="83">
        <f>M37+M28</f>
        <v>448</v>
      </c>
    </row>
    <row r="39" spans="1:13" ht="18" customHeight="1" thickTop="1" thickBot="1" x14ac:dyDescent="0.4">
      <c r="B39" s="70"/>
      <c r="E39" s="32" t="s">
        <v>125</v>
      </c>
      <c r="F39" s="29">
        <f>ROUND(rx_rm_fifo_max_coeff*D21*D24*B30,2)</f>
        <v>1000</v>
      </c>
      <c r="H39" s="62" t="s">
        <v>126</v>
      </c>
    </row>
    <row r="40" spans="1:13" ht="18" customHeight="1" thickTop="1" thickBot="1" x14ac:dyDescent="0.4">
      <c r="B40" s="70"/>
      <c r="E40" s="32" t="s">
        <v>127</v>
      </c>
      <c r="F40" s="29">
        <f>ROUND((rx_dformat_coeff*D23*D21),2)</f>
        <v>800</v>
      </c>
      <c r="H40" s="63" t="s">
        <v>128</v>
      </c>
    </row>
    <row r="41" spans="1:13" ht="15.5" thickTop="1" thickBot="1" x14ac:dyDescent="0.4">
      <c r="E41" s="32" t="s">
        <v>129</v>
      </c>
      <c r="F41" s="29">
        <f>ROUND(IF(D25=rx_jtx_wrapper_ratio_1,rx_jtx_wrapper_ratio_1_dly,IF(D25=rx_jtx_wrapper_ratio_2,rx_jtx_wrapper_ratio_2_dly,IF(D25=rx_jtx_wrapper_ratio_p75,rx_jtx_wrapper_ratio_p75_dly,rx_jtx_wrapper_ratio_default_dly)))*D27,2)</f>
        <v>600</v>
      </c>
      <c r="H41" s="64" t="s">
        <v>130</v>
      </c>
    </row>
    <row r="42" spans="1:13" ht="15.5" thickTop="1" thickBot="1" x14ac:dyDescent="0.4">
      <c r="E42" s="16" t="s">
        <v>131</v>
      </c>
      <c r="F42" s="9">
        <f>ROUND((IF(D28&gt;=rx_jtx_ratio_1,rx_jtx_ratio_1_add+D28,(IF(D28=rx_jtx_ratio_p5,rx_jtx_ratio_p5_dly,rx_jtx_ratio_default_sub-D28)))+IF(B36=1,IF(OR(D28=rx_jtx_ratio_p75,D28=rx_jtx_ratio_1p5),rx_jtx_async_ratio_p75_or_1p5_add,rx_jtx_async_default_add),0))*D26,2)+IF(B37="Jesd204c",2,3)*D26+D27</f>
        <v>1000</v>
      </c>
      <c r="H42" s="65" t="s">
        <v>132</v>
      </c>
    </row>
    <row r="43" spans="1:13" ht="15" thickBot="1" x14ac:dyDescent="0.4">
      <c r="G43" s="40"/>
    </row>
    <row r="44" spans="1:13" x14ac:dyDescent="0.35">
      <c r="E44" s="20" t="s">
        <v>133</v>
      </c>
      <c r="F44" s="21">
        <f>F13+SUM(F15:F29)+F31+F34+F38+F37+F40+F42-2*F26</f>
        <v>7165.44</v>
      </c>
      <c r="G44" s="40"/>
    </row>
    <row r="45" spans="1:13" ht="15" thickBot="1" x14ac:dyDescent="0.4">
      <c r="E45" s="22" t="s">
        <v>134</v>
      </c>
      <c r="F45" s="23">
        <f>SUM(F14:F37)+F39+F40+F42</f>
        <v>8025.72</v>
      </c>
      <c r="L45" s="18"/>
      <c r="M45" s="18"/>
    </row>
    <row r="46" spans="1:13" x14ac:dyDescent="0.35">
      <c r="E46" s="17" t="s">
        <v>135</v>
      </c>
      <c r="F46">
        <f>ROUND((F45-F44)/(F45+F44)*200,2)</f>
        <v>11.33</v>
      </c>
      <c r="L46" s="18"/>
      <c r="M46" s="18"/>
    </row>
    <row r="47" spans="1:13" x14ac:dyDescent="0.35">
      <c r="L47" s="18"/>
      <c r="M47" s="18"/>
    </row>
    <row r="48" spans="1:13" x14ac:dyDescent="0.35">
      <c r="L48" s="18"/>
      <c r="M48" s="18"/>
    </row>
    <row r="49" spans="10:13" x14ac:dyDescent="0.35">
      <c r="L49" s="18"/>
      <c r="M49" s="18"/>
    </row>
    <row r="50" spans="10:13" x14ac:dyDescent="0.35">
      <c r="L50" s="18"/>
      <c r="M50" s="18"/>
    </row>
    <row r="51" spans="10:13" x14ac:dyDescent="0.35">
      <c r="L51" s="18"/>
      <c r="M51" s="18"/>
    </row>
    <row r="54" spans="10:13" x14ac:dyDescent="0.35">
      <c r="J54" s="37"/>
    </row>
    <row r="55" spans="10:13" x14ac:dyDescent="0.35">
      <c r="J55" s="37"/>
    </row>
    <row r="56" spans="10:13" x14ac:dyDescent="0.35">
      <c r="J56" s="37"/>
    </row>
    <row r="57" spans="10:13" x14ac:dyDescent="0.35">
      <c r="J57" s="37"/>
    </row>
    <row r="58" spans="10:13" x14ac:dyDescent="0.35">
      <c r="J58" s="37"/>
    </row>
    <row r="59" spans="10:13" x14ac:dyDescent="0.35">
      <c r="J59" s="37"/>
    </row>
    <row r="60" spans="10:13" x14ac:dyDescent="0.35">
      <c r="J60" s="37"/>
    </row>
    <row r="72" spans="11:11" x14ac:dyDescent="0.35">
      <c r="K72" s="19"/>
    </row>
  </sheetData>
  <mergeCells count="4">
    <mergeCell ref="A11:B11"/>
    <mergeCell ref="C11:D11"/>
    <mergeCell ref="E11:F11"/>
    <mergeCell ref="A6:F9"/>
  </mergeCells>
  <dataValidations count="8">
    <dataValidation type="list" allowBlank="1" showInputMessage="1" showErrorMessage="1" sqref="B40" xr:uid="{FB746854-CB8E-475F-BC5D-510F0C7E3441}">
      <formula1>"1,2,3,4,6,8,12,16,24,32"</formula1>
    </dataValidation>
    <dataValidation type="list" allowBlank="1" showInputMessage="1" showErrorMessage="1" sqref="B37" xr:uid="{CE590C2B-1F7F-449A-B1D7-79ADA0A89F34}">
      <formula1>"Jesd204b,Jesd204c"</formula1>
    </dataValidation>
    <dataValidation type="list" allowBlank="1" showInputMessage="1" showErrorMessage="1" sqref="B29" xr:uid="{0BC85857-9C05-4A32-BDAD-64821239E32A}">
      <formula1>"N/4 Tap,N/2 Tap,N Tap,half_complex,full_complex"</formula1>
    </dataValidation>
    <dataValidation type="list" allowBlank="1" showInputMessage="1" showErrorMessage="1" sqref="B39" xr:uid="{466A0A71-74DD-4396-87A7-DEBF695E8749}">
      <formula1>"1,2,3,4,6,8,12,16"</formula1>
    </dataValidation>
    <dataValidation type="list" allowBlank="1" showInputMessage="1" showErrorMessage="1" sqref="B24:B28 B14:B15 B30:B36" xr:uid="{37F2B7C9-DA2C-4D87-AF34-72229A40F9B3}">
      <formula1>"0,1"</formula1>
    </dataValidation>
    <dataValidation type="list" allowBlank="1" showInputMessage="1" showErrorMessage="1" sqref="B18" xr:uid="{58EE0C27-6486-49AF-934A-B1F841476CA1}">
      <formula1>"1,2,4,8,16,32,64"</formula1>
    </dataValidation>
    <dataValidation type="list" allowBlank="1" showInputMessage="1" showErrorMessage="1" sqref="J11 M11 B13" xr:uid="{725B6B3A-26CA-4B6E-9AA3-E830D4C5D2CE}">
      <formula1>"4T4R,4T4R_LS,8T8R,8T8R_LS"</formula1>
    </dataValidation>
    <dataValidation type="list" allowBlank="1" showInputMessage="1" showErrorMessage="1" sqref="B16:B17" xr:uid="{81E049F7-D9D7-4151-B824-0DCD71C7C711}">
      <formula1>"1,2,3,4,6,12"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E3820-F5EF-48CF-AFC7-CA77420680EA}">
  <dimension ref="A1:D112"/>
  <sheetViews>
    <sheetView topLeftCell="A103" workbookViewId="0">
      <selection activeCell="B103" sqref="B103"/>
    </sheetView>
  </sheetViews>
  <sheetFormatPr defaultRowHeight="14.5" x14ac:dyDescent="0.35"/>
  <cols>
    <col min="1" max="1" width="30.26953125" customWidth="1"/>
    <col min="2" max="2" width="11.7265625" bestFit="1" customWidth="1"/>
  </cols>
  <sheetData>
    <row r="1" spans="1:4" x14ac:dyDescent="0.35">
      <c r="A1" t="s">
        <v>175</v>
      </c>
      <c r="B1" t="s">
        <v>9</v>
      </c>
    </row>
    <row r="2" spans="1:4" x14ac:dyDescent="0.35">
      <c r="A2" t="s">
        <v>176</v>
      </c>
      <c r="B2">
        <v>482</v>
      </c>
      <c r="D2" t="str">
        <f>IF(A2&lt;&gt;"", "")</f>
        <v/>
      </c>
    </row>
    <row r="3" spans="1:4" x14ac:dyDescent="0.35">
      <c r="A3" t="s">
        <v>177</v>
      </c>
      <c r="B3">
        <v>561</v>
      </c>
    </row>
    <row r="4" spans="1:4" x14ac:dyDescent="0.35">
      <c r="A4" t="s">
        <v>178</v>
      </c>
      <c r="B4">
        <v>242</v>
      </c>
    </row>
    <row r="5" spans="1:4" x14ac:dyDescent="0.35">
      <c r="A5" t="s">
        <v>179</v>
      </c>
      <c r="B5">
        <v>281</v>
      </c>
    </row>
    <row r="6" spans="1:4" x14ac:dyDescent="0.35">
      <c r="A6" t="s">
        <v>180</v>
      </c>
    </row>
    <row r="7" spans="1:4" x14ac:dyDescent="0.35">
      <c r="A7" t="s">
        <v>181</v>
      </c>
      <c r="B7">
        <v>485</v>
      </c>
    </row>
    <row r="8" spans="1:4" x14ac:dyDescent="0.35">
      <c r="A8" t="s">
        <v>182</v>
      </c>
      <c r="B8">
        <v>564</v>
      </c>
    </row>
    <row r="9" spans="1:4" x14ac:dyDescent="0.35">
      <c r="A9" t="s">
        <v>183</v>
      </c>
      <c r="B9">
        <v>243</v>
      </c>
    </row>
    <row r="10" spans="1:4" x14ac:dyDescent="0.35">
      <c r="A10" t="s">
        <v>184</v>
      </c>
      <c r="B10">
        <v>282</v>
      </c>
    </row>
    <row r="11" spans="1:4" x14ac:dyDescent="0.35">
      <c r="A11" t="s">
        <v>180</v>
      </c>
    </row>
    <row r="12" spans="1:4" x14ac:dyDescent="0.35">
      <c r="A12" t="s">
        <v>185</v>
      </c>
      <c r="B12">
        <v>664</v>
      </c>
    </row>
    <row r="13" spans="1:4" x14ac:dyDescent="0.35">
      <c r="A13" t="s">
        <v>186</v>
      </c>
      <c r="B13">
        <v>336</v>
      </c>
    </row>
    <row r="14" spans="1:4" x14ac:dyDescent="0.35">
      <c r="A14" t="s">
        <v>187</v>
      </c>
      <c r="B14">
        <v>152</v>
      </c>
    </row>
    <row r="15" spans="1:4" x14ac:dyDescent="0.35">
      <c r="A15" t="s">
        <v>188</v>
      </c>
      <c r="B15">
        <v>80</v>
      </c>
    </row>
    <row r="16" spans="1:4" x14ac:dyDescent="0.35">
      <c r="A16" t="s">
        <v>189</v>
      </c>
      <c r="B16">
        <v>64</v>
      </c>
    </row>
    <row r="17" spans="1:2" x14ac:dyDescent="0.35">
      <c r="A17" t="s">
        <v>190</v>
      </c>
      <c r="B17">
        <v>32</v>
      </c>
    </row>
    <row r="18" spans="1:2" x14ac:dyDescent="0.35">
      <c r="A18" t="s">
        <v>180</v>
      </c>
    </row>
    <row r="19" spans="1:2" x14ac:dyDescent="0.35">
      <c r="A19" t="s">
        <v>191</v>
      </c>
      <c r="B19">
        <v>64</v>
      </c>
    </row>
    <row r="20" spans="1:2" x14ac:dyDescent="0.35">
      <c r="A20" t="s">
        <v>192</v>
      </c>
      <c r="B20">
        <v>64</v>
      </c>
    </row>
    <row r="21" spans="1:2" x14ac:dyDescent="0.35">
      <c r="A21" t="s">
        <v>193</v>
      </c>
      <c r="B21">
        <v>32</v>
      </c>
    </row>
    <row r="22" spans="1:2" x14ac:dyDescent="0.35">
      <c r="A22" t="s">
        <v>194</v>
      </c>
      <c r="B22">
        <v>32</v>
      </c>
    </row>
    <row r="23" spans="1:2" x14ac:dyDescent="0.35">
      <c r="A23" t="s">
        <v>180</v>
      </c>
    </row>
    <row r="24" spans="1:2" x14ac:dyDescent="0.35">
      <c r="A24" t="s">
        <v>195</v>
      </c>
      <c r="B24">
        <v>608</v>
      </c>
    </row>
    <row r="25" spans="1:2" x14ac:dyDescent="0.35">
      <c r="A25" t="s">
        <v>196</v>
      </c>
      <c r="B25">
        <v>304</v>
      </c>
    </row>
    <row r="26" spans="1:2" x14ac:dyDescent="0.35">
      <c r="A26" t="s">
        <v>197</v>
      </c>
      <c r="B26">
        <v>64</v>
      </c>
    </row>
    <row r="27" spans="1:2" x14ac:dyDescent="0.35">
      <c r="A27" t="s">
        <v>198</v>
      </c>
      <c r="B27">
        <v>32</v>
      </c>
    </row>
    <row r="28" spans="1:2" x14ac:dyDescent="0.35">
      <c r="A28" t="s">
        <v>180</v>
      </c>
    </row>
    <row r="29" spans="1:2" x14ac:dyDescent="0.35">
      <c r="A29" t="s">
        <v>199</v>
      </c>
      <c r="B29">
        <v>8</v>
      </c>
    </row>
    <row r="30" spans="1:2" x14ac:dyDescent="0.35">
      <c r="A30" t="s">
        <v>200</v>
      </c>
      <c r="B30">
        <v>2</v>
      </c>
    </row>
    <row r="31" spans="1:2" x14ac:dyDescent="0.35">
      <c r="A31" t="s">
        <v>201</v>
      </c>
      <c r="B31">
        <v>0</v>
      </c>
    </row>
    <row r="33" spans="1:2" x14ac:dyDescent="0.35">
      <c r="A33" t="s">
        <v>202</v>
      </c>
      <c r="B33">
        <v>10</v>
      </c>
    </row>
    <row r="34" spans="1:2" x14ac:dyDescent="0.35">
      <c r="A34" t="s">
        <v>203</v>
      </c>
      <c r="B34">
        <v>7</v>
      </c>
    </row>
    <row r="35" spans="1:2" x14ac:dyDescent="0.35">
      <c r="A35" t="s">
        <v>204</v>
      </c>
      <c r="B35">
        <v>2</v>
      </c>
    </row>
    <row r="36" spans="1:2" x14ac:dyDescent="0.35">
      <c r="A36" t="s">
        <v>180</v>
      </c>
    </row>
    <row r="37" spans="1:2" x14ac:dyDescent="0.35">
      <c r="A37" t="s">
        <v>205</v>
      </c>
      <c r="B37">
        <v>3</v>
      </c>
    </row>
    <row r="38" spans="1:2" x14ac:dyDescent="0.35">
      <c r="A38" t="s">
        <v>206</v>
      </c>
      <c r="B38">
        <v>2</v>
      </c>
    </row>
    <row r="39" spans="1:2" x14ac:dyDescent="0.35">
      <c r="A39" t="s">
        <v>180</v>
      </c>
    </row>
    <row r="40" spans="1:2" x14ac:dyDescent="0.35">
      <c r="A40" t="s">
        <v>207</v>
      </c>
      <c r="B40">
        <v>1</v>
      </c>
    </row>
    <row r="41" spans="1:2" x14ac:dyDescent="0.35">
      <c r="A41" t="s">
        <v>208</v>
      </c>
      <c r="B41">
        <v>8</v>
      </c>
    </row>
    <row r="42" spans="1:2" x14ac:dyDescent="0.35">
      <c r="A42" t="s">
        <v>180</v>
      </c>
    </row>
    <row r="43" spans="1:2" x14ac:dyDescent="0.35">
      <c r="A43" t="s">
        <v>209</v>
      </c>
      <c r="B43">
        <v>4</v>
      </c>
    </row>
    <row r="44" spans="1:2" x14ac:dyDescent="0.35">
      <c r="A44" t="s">
        <v>210</v>
      </c>
      <c r="B44">
        <v>2</v>
      </c>
    </row>
    <row r="45" spans="1:2" x14ac:dyDescent="0.35">
      <c r="A45" t="s">
        <v>211</v>
      </c>
      <c r="B45">
        <v>1</v>
      </c>
    </row>
    <row r="47" spans="1:2" x14ac:dyDescent="0.35">
      <c r="A47" t="s">
        <v>212</v>
      </c>
      <c r="B47">
        <v>2</v>
      </c>
    </row>
    <row r="48" spans="1:2" x14ac:dyDescent="0.35">
      <c r="A48" t="s">
        <v>213</v>
      </c>
      <c r="B48">
        <v>5</v>
      </c>
    </row>
    <row r="49" spans="1:2" x14ac:dyDescent="0.35">
      <c r="A49" t="s">
        <v>180</v>
      </c>
    </row>
    <row r="50" spans="1:2" x14ac:dyDescent="0.35">
      <c r="A50" t="s">
        <v>214</v>
      </c>
      <c r="B50">
        <v>4</v>
      </c>
    </row>
    <row r="51" spans="1:2" x14ac:dyDescent="0.35">
      <c r="A51" t="s">
        <v>180</v>
      </c>
    </row>
    <row r="52" spans="1:2" x14ac:dyDescent="0.35">
      <c r="A52" t="s">
        <v>215</v>
      </c>
      <c r="B52">
        <v>1</v>
      </c>
    </row>
    <row r="53" spans="1:2" x14ac:dyDescent="0.35">
      <c r="A53" t="s">
        <v>216</v>
      </c>
      <c r="B53">
        <v>2</v>
      </c>
    </row>
    <row r="54" spans="1:2" x14ac:dyDescent="0.35">
      <c r="A54" t="s">
        <v>217</v>
      </c>
      <c r="B54">
        <v>0.75</v>
      </c>
    </row>
    <row r="55" spans="1:2" x14ac:dyDescent="0.35">
      <c r="A55" t="s">
        <v>218</v>
      </c>
      <c r="B55">
        <v>3</v>
      </c>
    </row>
    <row r="56" spans="1:2" x14ac:dyDescent="0.35">
      <c r="A56" t="s">
        <v>219</v>
      </c>
      <c r="B56">
        <v>5</v>
      </c>
    </row>
    <row r="57" spans="1:2" x14ac:dyDescent="0.35">
      <c r="A57" t="s">
        <v>220</v>
      </c>
      <c r="B57">
        <v>7</v>
      </c>
    </row>
    <row r="58" spans="1:2" x14ac:dyDescent="0.35">
      <c r="A58" t="s">
        <v>221</v>
      </c>
      <c r="B58">
        <v>3.67</v>
      </c>
    </row>
    <row r="59" spans="1:2" x14ac:dyDescent="0.35">
      <c r="A59" t="s">
        <v>180</v>
      </c>
    </row>
    <row r="60" spans="1:2" x14ac:dyDescent="0.35">
      <c r="A60" t="s">
        <v>222</v>
      </c>
      <c r="B60">
        <v>1</v>
      </c>
    </row>
    <row r="61" spans="1:2" x14ac:dyDescent="0.35">
      <c r="A61" t="s">
        <v>223</v>
      </c>
      <c r="B61">
        <v>0.5</v>
      </c>
    </row>
    <row r="62" spans="1:2" x14ac:dyDescent="0.35">
      <c r="A62" t="s">
        <v>224</v>
      </c>
      <c r="B62">
        <v>0.75</v>
      </c>
    </row>
    <row r="63" spans="1:2" x14ac:dyDescent="0.35">
      <c r="A63" t="s">
        <v>225</v>
      </c>
      <c r="B63">
        <v>1.5</v>
      </c>
    </row>
    <row r="64" spans="1:2" x14ac:dyDescent="0.35">
      <c r="A64" t="s">
        <v>226</v>
      </c>
      <c r="B64">
        <v>1</v>
      </c>
    </row>
    <row r="65" spans="1:2" x14ac:dyDescent="0.35">
      <c r="A65" t="s">
        <v>227</v>
      </c>
      <c r="B65">
        <v>2</v>
      </c>
    </row>
    <row r="66" spans="1:2" x14ac:dyDescent="0.35">
      <c r="A66" t="s">
        <v>228</v>
      </c>
      <c r="B66">
        <v>2.5</v>
      </c>
    </row>
    <row r="67" spans="1:2" x14ac:dyDescent="0.35">
      <c r="A67" t="s">
        <v>229</v>
      </c>
      <c r="B67">
        <v>2</v>
      </c>
    </row>
    <row r="68" spans="1:2" x14ac:dyDescent="0.35">
      <c r="A68" t="s">
        <v>230</v>
      </c>
      <c r="B68">
        <v>2.5</v>
      </c>
    </row>
    <row r="69" spans="1:2" x14ac:dyDescent="0.35">
      <c r="A69" t="s">
        <v>180</v>
      </c>
    </row>
    <row r="70" spans="1:2" x14ac:dyDescent="0.35">
      <c r="A70" t="s">
        <v>231</v>
      </c>
      <c r="B70">
        <v>32</v>
      </c>
    </row>
    <row r="71" spans="1:2" x14ac:dyDescent="0.35">
      <c r="A71" t="s">
        <v>232</v>
      </c>
      <c r="B71">
        <v>16</v>
      </c>
    </row>
    <row r="72" spans="1:2" x14ac:dyDescent="0.35">
      <c r="A72" t="s">
        <v>233</v>
      </c>
      <c r="B72">
        <v>8</v>
      </c>
    </row>
    <row r="73" spans="1:2" x14ac:dyDescent="0.35">
      <c r="A73" t="s">
        <v>234</v>
      </c>
      <c r="B73">
        <v>2</v>
      </c>
    </row>
    <row r="74" spans="1:2" x14ac:dyDescent="0.35">
      <c r="A74" t="s">
        <v>235</v>
      </c>
      <c r="B74">
        <v>2</v>
      </c>
    </row>
    <row r="75" spans="1:2" x14ac:dyDescent="0.35">
      <c r="A75" t="s">
        <v>236</v>
      </c>
      <c r="B75">
        <v>2</v>
      </c>
    </row>
    <row r="76" spans="1:2" x14ac:dyDescent="0.35">
      <c r="A76" t="s">
        <v>237</v>
      </c>
      <c r="B76">
        <v>1</v>
      </c>
    </row>
    <row r="77" spans="1:2" x14ac:dyDescent="0.35">
      <c r="A77" t="s">
        <v>238</v>
      </c>
      <c r="B77">
        <v>3</v>
      </c>
    </row>
    <row r="78" spans="1:2" x14ac:dyDescent="0.35">
      <c r="A78" t="s">
        <v>239</v>
      </c>
      <c r="B78">
        <v>0.5</v>
      </c>
    </row>
    <row r="79" spans="1:2" x14ac:dyDescent="0.35">
      <c r="A79" t="s">
        <v>240</v>
      </c>
      <c r="B79">
        <v>1</v>
      </c>
    </row>
    <row r="81" spans="1:2" x14ac:dyDescent="0.35">
      <c r="A81" t="s">
        <v>241</v>
      </c>
      <c r="B81">
        <v>8</v>
      </c>
    </row>
    <row r="82" spans="1:2" x14ac:dyDescent="0.35">
      <c r="A82" t="s">
        <v>180</v>
      </c>
    </row>
    <row r="83" spans="1:2" x14ac:dyDescent="0.35">
      <c r="A83" t="s">
        <v>242</v>
      </c>
      <c r="B83">
        <v>3</v>
      </c>
    </row>
    <row r="84" spans="1:2" x14ac:dyDescent="0.35">
      <c r="A84" t="s">
        <v>243</v>
      </c>
      <c r="B84">
        <v>24</v>
      </c>
    </row>
    <row r="85" spans="1:2" x14ac:dyDescent="0.35">
      <c r="A85" t="s">
        <v>244</v>
      </c>
      <c r="B85">
        <v>12</v>
      </c>
    </row>
    <row r="86" spans="1:2" x14ac:dyDescent="0.35">
      <c r="A86" t="s">
        <v>180</v>
      </c>
    </row>
    <row r="87" spans="1:2" x14ac:dyDescent="0.35">
      <c r="A87" t="s">
        <v>245</v>
      </c>
      <c r="B87">
        <v>4</v>
      </c>
    </row>
    <row r="88" spans="1:2" x14ac:dyDescent="0.35">
      <c r="A88" t="s">
        <v>246</v>
      </c>
      <c r="B88">
        <v>8</v>
      </c>
    </row>
    <row r="89" spans="1:2" x14ac:dyDescent="0.35">
      <c r="A89" t="s">
        <v>180</v>
      </c>
    </row>
    <row r="90" spans="1:2" x14ac:dyDescent="0.35">
      <c r="A90" t="s">
        <v>247</v>
      </c>
      <c r="B90">
        <v>2</v>
      </c>
    </row>
    <row r="91" spans="1:2" x14ac:dyDescent="0.35">
      <c r="A91" t="s">
        <v>248</v>
      </c>
      <c r="B91">
        <v>2</v>
      </c>
    </row>
    <row r="92" spans="1:2" x14ac:dyDescent="0.35">
      <c r="A92" t="s">
        <v>249</v>
      </c>
      <c r="B92">
        <v>12</v>
      </c>
    </row>
    <row r="93" spans="1:2" x14ac:dyDescent="0.35">
      <c r="A93" t="s">
        <v>250</v>
      </c>
      <c r="B93">
        <v>2</v>
      </c>
    </row>
    <row r="94" spans="1:2" x14ac:dyDescent="0.35">
      <c r="A94" t="s">
        <v>251</v>
      </c>
      <c r="B94">
        <v>4</v>
      </c>
    </row>
    <row r="95" spans="1:2" x14ac:dyDescent="0.35">
      <c r="A95" t="s">
        <v>252</v>
      </c>
      <c r="B95">
        <v>2</v>
      </c>
    </row>
    <row r="96" spans="1:2" x14ac:dyDescent="0.35">
      <c r="A96" t="s">
        <v>253</v>
      </c>
      <c r="B96">
        <v>1</v>
      </c>
    </row>
    <row r="97" spans="1:2" x14ac:dyDescent="0.35">
      <c r="A97" t="s">
        <v>254</v>
      </c>
      <c r="B97">
        <v>1</v>
      </c>
    </row>
    <row r="98" spans="1:2" x14ac:dyDescent="0.35">
      <c r="A98" t="s">
        <v>255</v>
      </c>
      <c r="B98">
        <v>1</v>
      </c>
    </row>
    <row r="99" spans="1:2" x14ac:dyDescent="0.35">
      <c r="A99" t="s">
        <v>256</v>
      </c>
      <c r="B99">
        <v>1</v>
      </c>
    </row>
    <row r="101" spans="1:2" x14ac:dyDescent="0.35">
      <c r="A101" t="s">
        <v>257</v>
      </c>
      <c r="B101">
        <v>10000</v>
      </c>
    </row>
    <row r="102" spans="1:2" x14ac:dyDescent="0.35">
      <c r="A102" t="s">
        <v>258</v>
      </c>
      <c r="B102">
        <v>2</v>
      </c>
    </row>
    <row r="103" spans="1:2" x14ac:dyDescent="0.35">
      <c r="A103" t="s">
        <v>259</v>
      </c>
      <c r="B103">
        <v>100</v>
      </c>
    </row>
    <row r="104" spans="1:2" x14ac:dyDescent="0.35">
      <c r="A104" t="s">
        <v>260</v>
      </c>
      <c r="B104">
        <v>1</v>
      </c>
    </row>
    <row r="106" spans="1:2" x14ac:dyDescent="0.35">
      <c r="A106" t="s">
        <v>261</v>
      </c>
      <c r="B106">
        <v>281474976710656</v>
      </c>
    </row>
    <row r="108" spans="1:2" x14ac:dyDescent="0.35">
      <c r="A108" t="s">
        <v>262</v>
      </c>
      <c r="B108">
        <v>10</v>
      </c>
    </row>
    <row r="110" spans="1:2" x14ac:dyDescent="0.35">
      <c r="A110" t="s">
        <v>263</v>
      </c>
      <c r="B110">
        <v>10000</v>
      </c>
    </row>
    <row r="111" spans="1:2" x14ac:dyDescent="0.35">
      <c r="A111" t="s">
        <v>264</v>
      </c>
      <c r="B111">
        <v>2</v>
      </c>
    </row>
    <row r="112" spans="1:2" x14ac:dyDescent="0.35">
      <c r="A112" t="s">
        <v>265</v>
      </c>
      <c r="B112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3A62-4899-4D8A-BFA0-B7739306721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B733-46C4-44DF-9A6E-045BCB930375}">
  <sheetPr codeName="Sheet1"/>
  <dimension ref="A1:BI18"/>
  <sheetViews>
    <sheetView topLeftCell="B1" workbookViewId="0">
      <selection activeCell="G18" sqref="G18"/>
    </sheetView>
  </sheetViews>
  <sheetFormatPr defaultRowHeight="14.5" x14ac:dyDescent="0.35"/>
  <cols>
    <col min="1" max="1" width="25.26953125" customWidth="1"/>
    <col min="2" max="2" width="9.54296875" customWidth="1"/>
    <col min="3" max="3" width="3.7265625" customWidth="1"/>
    <col min="4" max="4" width="9.26953125" customWidth="1"/>
    <col min="5" max="5" width="5.54296875" customWidth="1"/>
    <col min="6" max="6" width="13.26953125" customWidth="1"/>
    <col min="7" max="7" width="5.453125" customWidth="1"/>
    <col min="8" max="8" width="7" customWidth="1"/>
    <col min="9" max="9" width="8.7265625" customWidth="1"/>
    <col min="10" max="11" width="7.7265625" customWidth="1"/>
    <col min="12" max="12" width="10.7265625" customWidth="1"/>
    <col min="13" max="13" width="4" customWidth="1"/>
    <col min="14" max="14" width="3.453125" customWidth="1"/>
    <col min="15" max="15" width="7.26953125" customWidth="1"/>
    <col min="16" max="16" width="5.54296875" customWidth="1"/>
    <col min="17" max="17" width="9" customWidth="1"/>
    <col min="18" max="18" width="5.26953125" customWidth="1"/>
    <col min="19" max="19" width="5" customWidth="1"/>
    <col min="20" max="20" width="6" customWidth="1"/>
    <col min="21" max="21" width="7.26953125" customWidth="1"/>
    <col min="22" max="22" width="5.7265625" customWidth="1"/>
    <col min="23" max="23" width="13.54296875" customWidth="1"/>
    <col min="24" max="25" width="8.26953125" customWidth="1"/>
    <col min="26" max="26" width="2.7265625" customWidth="1"/>
    <col min="27" max="27" width="5.26953125" customWidth="1"/>
    <col min="28" max="28" width="3.7265625" customWidth="1"/>
    <col min="29" max="29" width="2.7265625" customWidth="1"/>
    <col min="30" max="30" width="11.7265625" customWidth="1"/>
    <col min="31" max="31" width="9.453125" customWidth="1"/>
    <col min="32" max="32" width="6.453125" customWidth="1"/>
    <col min="33" max="34" width="6.26953125" customWidth="1"/>
    <col min="35" max="35" width="10.26953125" customWidth="1"/>
    <col min="36" max="36" width="9.453125" customWidth="1"/>
    <col min="37" max="37" width="6.26953125" customWidth="1"/>
    <col min="38" max="44" width="8.7265625" customWidth="1"/>
    <col min="45" max="45" width="9.26953125" customWidth="1"/>
    <col min="46" max="48" width="10.453125" customWidth="1"/>
    <col min="49" max="49" width="8.7265625" customWidth="1"/>
    <col min="50" max="50" width="11.54296875" customWidth="1"/>
    <col min="51" max="51" width="8.7265625" customWidth="1"/>
    <col min="52" max="53" width="10.453125" customWidth="1"/>
    <col min="54" max="54" width="14.7265625" customWidth="1"/>
    <col min="55" max="55" width="10.7265625" customWidth="1"/>
    <col min="56" max="56" width="16.453125" customWidth="1"/>
    <col min="57" max="57" width="15.26953125" customWidth="1"/>
    <col min="58" max="58" width="8" customWidth="1"/>
    <col min="59" max="60" width="12.453125" customWidth="1"/>
    <col min="61" max="61" width="11.7265625" customWidth="1"/>
  </cols>
  <sheetData>
    <row r="1" spans="1:61" x14ac:dyDescent="0.35">
      <c r="A1" s="4" t="s">
        <v>136</v>
      </c>
      <c r="B1" s="5" t="s">
        <v>18</v>
      </c>
      <c r="C1" s="5" t="s">
        <v>23</v>
      </c>
      <c r="D1" s="4" t="s">
        <v>31</v>
      </c>
      <c r="E1" s="4" t="s">
        <v>35</v>
      </c>
      <c r="F1" s="8" t="s">
        <v>137</v>
      </c>
      <c r="G1" s="4" t="s">
        <v>39</v>
      </c>
      <c r="H1" s="4" t="s">
        <v>44</v>
      </c>
      <c r="I1" s="4" t="s">
        <v>61</v>
      </c>
      <c r="J1" s="5" t="s">
        <v>40</v>
      </c>
      <c r="K1" s="4" t="s">
        <v>54</v>
      </c>
      <c r="L1" s="4" t="s">
        <v>59</v>
      </c>
      <c r="M1" s="4" t="s">
        <v>64</v>
      </c>
      <c r="N1" s="4" t="s">
        <v>69</v>
      </c>
      <c r="O1" s="4" t="s">
        <v>74</v>
      </c>
      <c r="P1" s="4" t="s">
        <v>79</v>
      </c>
      <c r="Q1" s="4" t="s">
        <v>84</v>
      </c>
      <c r="R1" s="4" t="s">
        <v>88</v>
      </c>
      <c r="S1" s="4" t="s">
        <v>92</v>
      </c>
      <c r="T1" s="4" t="s">
        <v>99</v>
      </c>
      <c r="U1" s="4" t="s">
        <v>104</v>
      </c>
      <c r="V1" s="4" t="s">
        <v>109</v>
      </c>
      <c r="W1" s="8" t="s">
        <v>137</v>
      </c>
      <c r="X1" s="5" t="s">
        <v>100</v>
      </c>
      <c r="Y1" s="4" t="s">
        <v>114</v>
      </c>
      <c r="Z1" s="4" t="s">
        <v>105</v>
      </c>
      <c r="AA1" s="4" t="s">
        <v>110</v>
      </c>
      <c r="AB1" s="4" t="s">
        <v>116</v>
      </c>
      <c r="AC1" s="4" t="s">
        <v>121</v>
      </c>
      <c r="AD1" s="8" t="s">
        <v>137</v>
      </c>
      <c r="AE1" s="6" t="s">
        <v>50</v>
      </c>
      <c r="AF1" s="6" t="s">
        <v>55</v>
      </c>
      <c r="AG1" s="6" t="s">
        <v>60</v>
      </c>
      <c r="AH1" s="6" t="s">
        <v>65</v>
      </c>
      <c r="AI1" s="6" t="s">
        <v>70</v>
      </c>
      <c r="AJ1" s="6" t="s">
        <v>75</v>
      </c>
      <c r="AK1" s="6" t="s">
        <v>80</v>
      </c>
      <c r="AL1" s="7" t="s">
        <v>28</v>
      </c>
      <c r="AM1" s="7" t="s">
        <v>32</v>
      </c>
      <c r="AN1" s="7" t="s">
        <v>36</v>
      </c>
      <c r="AO1" s="7" t="s">
        <v>41</v>
      </c>
      <c r="AP1" s="7" t="s">
        <v>46</v>
      </c>
      <c r="AQ1" s="7" t="s">
        <v>51</v>
      </c>
      <c r="AR1" s="7" t="s">
        <v>56</v>
      </c>
      <c r="AS1" s="7" t="s">
        <v>61</v>
      </c>
      <c r="AT1" s="7" t="s">
        <v>66</v>
      </c>
      <c r="AU1" s="7" t="s">
        <v>71</v>
      </c>
      <c r="AV1" s="7" t="s">
        <v>76</v>
      </c>
      <c r="AW1" s="7" t="s">
        <v>81</v>
      </c>
      <c r="AX1" s="7" t="s">
        <v>86</v>
      </c>
      <c r="AY1" s="7" t="s">
        <v>89</v>
      </c>
      <c r="AZ1" s="7" t="s">
        <v>93</v>
      </c>
      <c r="BA1" s="7" t="s">
        <v>89</v>
      </c>
      <c r="BB1" s="7" t="s">
        <v>101</v>
      </c>
      <c r="BC1" s="7" t="s">
        <v>106</v>
      </c>
      <c r="BD1" s="7" t="s">
        <v>117</v>
      </c>
      <c r="BE1" s="7" t="s">
        <v>122</v>
      </c>
      <c r="BF1" s="7" t="s">
        <v>125</v>
      </c>
      <c r="BG1" s="7" t="s">
        <v>127</v>
      </c>
      <c r="BH1" s="7" t="s">
        <v>129</v>
      </c>
      <c r="BI1" s="7" t="s">
        <v>131</v>
      </c>
    </row>
    <row r="2" spans="1:61" x14ac:dyDescent="0.35">
      <c r="A2" t="s">
        <v>138</v>
      </c>
      <c r="B2" s="5">
        <f>IF(OR(A2="4T4R",A2="4T4R_LS"),0,1)</f>
        <v>0</v>
      </c>
      <c r="C2" s="5">
        <f>IF(OR(A2="8T8R_LS",A2="4T4R_LS"),1,0)</f>
        <v>0</v>
      </c>
      <c r="D2">
        <v>6</v>
      </c>
      <c r="E2">
        <v>1</v>
      </c>
      <c r="F2" s="5">
        <f>10000*(B2*2+C2)+100*D2+E2</f>
        <v>601</v>
      </c>
      <c r="G2">
        <v>100</v>
      </c>
      <c r="H2">
        <v>100</v>
      </c>
      <c r="I2">
        <v>12</v>
      </c>
      <c r="J2" s="5">
        <f>D2*E2</f>
        <v>6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 t="s">
        <v>139</v>
      </c>
      <c r="R2">
        <v>0</v>
      </c>
      <c r="S2">
        <v>0</v>
      </c>
      <c r="T2">
        <v>0</v>
      </c>
      <c r="U2">
        <v>1</v>
      </c>
      <c r="V2">
        <v>0</v>
      </c>
      <c r="W2" s="5">
        <f>IF(OR(A2="4T4R_LS",A2="8T8R_LS"),1/(2-MOD(D2,2)),1)*IF(MOD(D2,12)=0,2,4)*IF(OR(A2="4T4R",A2="4T4R_LS"),2,1)</f>
        <v>8</v>
      </c>
      <c r="X2" s="5">
        <f>IF(E2&lt;W2,W2/E2,1)</f>
        <v>8</v>
      </c>
      <c r="Y2" t="s">
        <v>115</v>
      </c>
      <c r="Z2">
        <v>1</v>
      </c>
      <c r="AA2">
        <v>2</v>
      </c>
      <c r="AB2" s="8">
        <v>4</v>
      </c>
      <c r="AC2">
        <v>1</v>
      </c>
      <c r="AD2" s="6">
        <f>10*X2+AA2</f>
        <v>82</v>
      </c>
      <c r="AE2" s="6">
        <f>IF(R2=1,IF(J2&lt;32,IF(A2="8T8R",1,2),1)*IF(J2&lt;16,2,1)*IF(J2&lt;8,2,1)*IF(AND(J2&lt;32,OR(A2="4T4R_LS",A2="8T8R_LS")),IF(OR(J2=1,J2=3),1,0.5),1),VLOOKUP(F2,DDC_NS!E2:F139,2))</f>
        <v>4</v>
      </c>
      <c r="AF2" s="6">
        <f>MAX(AE2,AC2)</f>
        <v>4</v>
      </c>
      <c r="AG2" s="6">
        <f>IF((MOD(AC2,3)=0),IF(OR(A2="4T4R",A2="4T4R_LS"),24,12),AF2)</f>
        <v>4</v>
      </c>
      <c r="AH2" s="6">
        <f>AG2/AF2</f>
        <v>1</v>
      </c>
      <c r="AI2" s="6">
        <f>D2*E2*(AC2/AB2)*IF(Y2="JESD204B",4,8)</f>
        <v>12</v>
      </c>
      <c r="AJ2" s="6">
        <f>(D2*E2*AG2)</f>
        <v>24</v>
      </c>
      <c r="AK2" s="6">
        <f>AJ2/AI2</f>
        <v>2</v>
      </c>
      <c r="AL2" s="7">
        <f>IF(L2=0,IF(B2=0,152,80),IF(B2=0,664,336))+L2*G2</f>
        <v>764</v>
      </c>
      <c r="AM2" s="7">
        <v>64</v>
      </c>
      <c r="AN2" s="7">
        <f>IF(O2=1,IF(B2=0,608,304),0)</f>
        <v>0</v>
      </c>
      <c r="AO2" s="7">
        <v>64</v>
      </c>
      <c r="AP2" s="7">
        <f>IF(P2=1,VLOOKUP(Q2,pfilt!A2:C6,IF(B2=0,2,3),0),64)</f>
        <v>64</v>
      </c>
      <c r="AQ2" s="7">
        <v>64</v>
      </c>
      <c r="AR2" s="7">
        <f>IF(M2=1,VLOOKUP(F2,bmem!F2:I137,IF(M2=1,2,4),0),0)+D2*H2*M2</f>
        <v>0</v>
      </c>
      <c r="AS2" s="7">
        <f>IF(N2=1,VLOOKUP(F2,bmem!F2:I137,IF(N2=1,3,4),0),0)+D2*E2*I2*R2*N2</f>
        <v>0</v>
      </c>
      <c r="AT2" s="7">
        <f>VLOOKUP(F2,ddc_selection!F2:J139,IF(R2=1,IF(S2=1,2,3),IF(S2=1,4,5)),0)</f>
        <v>980</v>
      </c>
      <c r="AU2" s="7">
        <f>IF(R2=1,D2*E2,8*D2)</f>
        <v>48</v>
      </c>
      <c r="AV2" s="7">
        <f>2*X2*J2</f>
        <v>96</v>
      </c>
      <c r="AW2" s="7">
        <f>IF(T2,VLOOKUP(F2,ddc_selection!F2:K139,6,0),0)*R2</f>
        <v>0</v>
      </c>
      <c r="AX2" s="7">
        <f>IF(U2=1,10*D2*E2*X2+7,0)*R2</f>
        <v>0</v>
      </c>
      <c r="AY2" s="7">
        <f>IF(U2=1,2*D2*E2*X2,0)*R2</f>
        <v>0</v>
      </c>
      <c r="AZ2" s="7">
        <f>IF(U2=1,3*D2*E2*X2*K2,0)*R2</f>
        <v>0</v>
      </c>
      <c r="BA2" s="7">
        <f>AY2*K2</f>
        <v>0</v>
      </c>
      <c r="BB2" s="7">
        <f>IF(U2=1,VLOOKUP(AD2,fsrc_gated!C2:E8,2,0),0)*R2*D2*E2*X2*K2</f>
        <v>0</v>
      </c>
      <c r="BC2" s="7">
        <f>IF(U2=1,VLOOKUP(AD2,fsrc_gated!C2:E8,3,0)-VLOOKUP(AD2,fsrc_gated!C2:E8,2,0),0)*R2*D2*E2*X2*K2</f>
        <v>0</v>
      </c>
      <c r="BD2" s="7">
        <f>(IF(R2=0,4,2)+(AF2/IF(V2=0,X2,AE2)))*J2*IF(V2=0,X2,AE2)*IF(U2=0,1,1.25)</f>
        <v>270</v>
      </c>
      <c r="BE2" s="7">
        <f>2*J2*AG2*R2</f>
        <v>0</v>
      </c>
      <c r="BF2" s="7">
        <f>5*J2*AG2*R2</f>
        <v>0</v>
      </c>
      <c r="BG2" s="7">
        <f>(4*AF2*J2)</f>
        <v>96</v>
      </c>
      <c r="BH2" s="7">
        <f>IF(AH2=1,3,IF(AH2=2,5,IF(AH2=0.75,7,3.67)))*AJ2</f>
        <v>72</v>
      </c>
      <c r="BI2" s="7">
        <f>(IF(AK2&gt;=1,1+AK2,(IF(AK2=0.5,2.5,2-AK2)))+IF(V2=1,IF(OR(AK2=0.75,AK2=1.5),2.5,2),0))*AI2</f>
        <v>36</v>
      </c>
    </row>
    <row r="6" spans="1:61" x14ac:dyDescent="0.35">
      <c r="A6" s="3" t="s">
        <v>133</v>
      </c>
      <c r="B6" s="2">
        <f>SUM(AL2:AX2)+AZ2+BB2+BE2+BD2+BG2+BI2-2*AU2</f>
        <v>2450</v>
      </c>
    </row>
    <row r="7" spans="1:61" x14ac:dyDescent="0.35">
      <c r="A7" s="3" t="s">
        <v>134</v>
      </c>
      <c r="B7" s="2">
        <f>SUM(AL2:BD2)+BF2+BG2+BI2</f>
        <v>2546</v>
      </c>
    </row>
    <row r="8" spans="1:61" x14ac:dyDescent="0.35">
      <c r="A8" t="s">
        <v>135</v>
      </c>
      <c r="B8">
        <f>(B7-B6)/(B7+B6)*200</f>
        <v>3.8430744595676538</v>
      </c>
      <c r="Q8" t="str">
        <f>IF(AND(MOD(AC2,3)=0,R2=1),"FBW modes are only valid for S%3==0","")</f>
        <v/>
      </c>
    </row>
    <row r="9" spans="1:61" x14ac:dyDescent="0.35">
      <c r="F9" t="str">
        <f>IF(OR(K2&lt;1,K2&gt;2),"Fsrc decimation incorrect","")</f>
        <v/>
      </c>
    </row>
    <row r="10" spans="1:61" x14ac:dyDescent="0.35">
      <c r="A10" s="5" t="s">
        <v>1</v>
      </c>
      <c r="Q10" t="str">
        <f>IF(OR(AH2=1,AH2=0.75,AH2=1.5,R2=0),"","Jesd programming wrong")</f>
        <v/>
      </c>
    </row>
    <row r="11" spans="1:61" x14ac:dyDescent="0.35">
      <c r="A11" s="7" t="s">
        <v>2</v>
      </c>
    </row>
    <row r="12" spans="1:61" x14ac:dyDescent="0.35">
      <c r="A12" s="4" t="s">
        <v>140</v>
      </c>
      <c r="Q12" t="str">
        <f>IF(R2=0,IF(S2+T2+U2+V2+N2+M2&gt;0,"ERROR:Incorrect programming of en switches",""),"")</f>
        <v>ERROR:Incorrect programming of en switches</v>
      </c>
    </row>
    <row r="13" spans="1:61" x14ac:dyDescent="0.35">
      <c r="A13" t="s">
        <v>3</v>
      </c>
    </row>
    <row r="14" spans="1:61" x14ac:dyDescent="0.35">
      <c r="Q14" t="str">
        <f>IF(E2&gt;1,IF(R2=0,"ERROR:Fine bypass/FBW is not valid if fdec!=1",""),"")</f>
        <v/>
      </c>
    </row>
    <row r="16" spans="1:61" x14ac:dyDescent="0.35">
      <c r="Q16" t="str">
        <f>IF(U2=1,IF(AA2&gt;4,"M can't be greater than 4 in fsrc case",""),"")</f>
        <v/>
      </c>
    </row>
    <row r="18" spans="17:17" x14ac:dyDescent="0.35">
      <c r="Q18" t="str">
        <f>IF(B2=0,IF(AA2&gt;8,"M can't be greater than 8 in 4t4r case",(IF(AND(R2=0,AA2&gt;4),"4t4r fine_bypass case M should be less than or equal to 4",""))),"")</f>
        <v/>
      </c>
    </row>
  </sheetData>
  <dataValidations count="9">
    <dataValidation type="list" allowBlank="1" showInputMessage="1" showErrorMessage="1" sqref="D2" xr:uid="{21434317-0F8A-4D71-8E7D-4012A78156FF}">
      <formula1>"1,2,3,4,6,12"</formula1>
    </dataValidation>
    <dataValidation type="list" allowBlank="1" showInputMessage="1" showErrorMessage="1" sqref="A2" xr:uid="{B46BAA15-9A79-4012-924F-254A90133867}">
      <formula1>"4T4R,4T4R_LS,8T8R,8T8R_LS"</formula1>
    </dataValidation>
    <dataValidation type="list" allowBlank="1" showInputMessage="1" showErrorMessage="1" sqref="E2" xr:uid="{613A0DA8-FCAC-425F-A465-A52E6B3F5828}">
      <formula1>"1,2,4,8,16,32,64"</formula1>
    </dataValidation>
    <dataValidation type="list" allowBlank="1" showInputMessage="1" showErrorMessage="1" sqref="R2:V2 L2:P2" xr:uid="{672176D5-60F0-45E2-A334-B72CF3736D59}">
      <formula1>"0,1"</formula1>
    </dataValidation>
    <dataValidation type="list" allowBlank="1" showInputMessage="1" showErrorMessage="1" sqref="AA2" xr:uid="{2859F4EA-5D8F-48DC-B85E-67193EE9BBCC}">
      <formula1>"1,2,3,4,6,8,12,16"</formula1>
    </dataValidation>
    <dataValidation type="list" allowBlank="1" showInputMessage="1" showErrorMessage="1" sqref="AC2 Z2" xr:uid="{44DE9603-74F2-4052-BA0E-B7A71474E2FC}">
      <formula1>"1,2,3,4,6,8,12"</formula1>
    </dataValidation>
    <dataValidation type="list" allowBlank="1" showInputMessage="1" showErrorMessage="1" sqref="Q2" xr:uid="{5429440C-A0FD-477B-BFB6-5C115A5DD6C4}">
      <formula1>"N/4 Tap,N/2 Tap,N Tap,half_complex,full_complex"</formula1>
    </dataValidation>
    <dataValidation type="list" allowBlank="1" showInputMessage="1" showErrorMessage="1" sqref="Y2" xr:uid="{6CA0284B-FCD2-4EBF-AFD7-184AE9AF8ABD}">
      <formula1>"Jesd204b,Jesd204c"</formula1>
    </dataValidation>
    <dataValidation type="list" allowBlank="1" showInputMessage="1" showErrorMessage="1" sqref="AB2" xr:uid="{C03F7A57-D3E4-48A5-9C3B-80A882BB93BB}">
      <formula1>"1,2,3,4,6,8,12,16,24,32"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948-2C84-49B8-923C-F128B6F935C5}">
  <dimension ref="A1:F25"/>
  <sheetViews>
    <sheetView workbookViewId="0">
      <selection activeCell="G18" sqref="G18"/>
    </sheetView>
  </sheetViews>
  <sheetFormatPr defaultRowHeight="14.5" x14ac:dyDescent="0.35"/>
  <cols>
    <col min="2" max="2" width="13.54296875" customWidth="1"/>
  </cols>
  <sheetData>
    <row r="1" spans="1:6" x14ac:dyDescent="0.35">
      <c r="A1" t="s">
        <v>141</v>
      </c>
      <c r="B1" t="s">
        <v>142</v>
      </c>
    </row>
    <row r="2" spans="1:6" x14ac:dyDescent="0.35">
      <c r="A2" t="s">
        <v>143</v>
      </c>
      <c r="B2">
        <v>1</v>
      </c>
      <c r="C2">
        <f>IF(OR(A2="4T4R",A2="4T4R_LS"),0,1)</f>
        <v>0</v>
      </c>
      <c r="D2">
        <f>IF(OR(A2="4T4R",A2="8T8R"),0,1)</f>
        <v>0</v>
      </c>
      <c r="E2">
        <f>10000*(2*C2+D2)+100*B2+1</f>
        <v>101</v>
      </c>
      <c r="F2">
        <v>32</v>
      </c>
    </row>
    <row r="3" spans="1:6" x14ac:dyDescent="0.35">
      <c r="A3" t="s">
        <v>143</v>
      </c>
      <c r="B3">
        <v>2</v>
      </c>
      <c r="C3">
        <f t="shared" ref="C3:C25" si="0">IF(OR(A3="4T4R",A3="4T4R_LS"),0,1)</f>
        <v>0</v>
      </c>
      <c r="D3">
        <f t="shared" ref="D3:D25" si="1">IF(OR(A3="4T4R",A3="8T8R"),0,1)</f>
        <v>0</v>
      </c>
      <c r="E3">
        <f t="shared" ref="E3:E25" si="2">10000*(2*C3+D3)+100*B3+1</f>
        <v>201</v>
      </c>
      <c r="F3">
        <v>16</v>
      </c>
    </row>
    <row r="4" spans="1:6" x14ac:dyDescent="0.35">
      <c r="A4" t="s">
        <v>143</v>
      </c>
      <c r="B4">
        <v>3</v>
      </c>
      <c r="C4">
        <f t="shared" si="0"/>
        <v>0</v>
      </c>
      <c r="D4">
        <f t="shared" si="1"/>
        <v>0</v>
      </c>
      <c r="E4">
        <f t="shared" si="2"/>
        <v>301</v>
      </c>
      <c r="F4">
        <v>8</v>
      </c>
    </row>
    <row r="5" spans="1:6" x14ac:dyDescent="0.35">
      <c r="A5" t="s">
        <v>143</v>
      </c>
      <c r="B5">
        <v>4</v>
      </c>
      <c r="C5">
        <f t="shared" si="0"/>
        <v>0</v>
      </c>
      <c r="D5">
        <f t="shared" si="1"/>
        <v>0</v>
      </c>
      <c r="E5">
        <f t="shared" si="2"/>
        <v>401</v>
      </c>
      <c r="F5">
        <v>8</v>
      </c>
    </row>
    <row r="6" spans="1:6" x14ac:dyDescent="0.35">
      <c r="A6" t="s">
        <v>143</v>
      </c>
      <c r="B6">
        <v>6</v>
      </c>
      <c r="C6">
        <f t="shared" si="0"/>
        <v>0</v>
      </c>
      <c r="D6">
        <f t="shared" si="1"/>
        <v>0</v>
      </c>
      <c r="E6">
        <f t="shared" si="2"/>
        <v>601</v>
      </c>
      <c r="F6">
        <v>4</v>
      </c>
    </row>
    <row r="7" spans="1:6" x14ac:dyDescent="0.35">
      <c r="A7" t="s">
        <v>143</v>
      </c>
      <c r="B7">
        <v>12</v>
      </c>
      <c r="C7">
        <f t="shared" si="0"/>
        <v>0</v>
      </c>
      <c r="D7">
        <f t="shared" si="1"/>
        <v>0</v>
      </c>
      <c r="E7">
        <f t="shared" si="2"/>
        <v>1201</v>
      </c>
      <c r="F7">
        <v>2</v>
      </c>
    </row>
    <row r="8" spans="1:6" x14ac:dyDescent="0.35">
      <c r="A8" t="s">
        <v>144</v>
      </c>
      <c r="B8">
        <v>1</v>
      </c>
      <c r="C8">
        <f t="shared" si="0"/>
        <v>0</v>
      </c>
      <c r="D8">
        <f t="shared" si="1"/>
        <v>1</v>
      </c>
      <c r="E8">
        <f t="shared" si="2"/>
        <v>10101</v>
      </c>
      <c r="F8">
        <v>16</v>
      </c>
    </row>
    <row r="9" spans="1:6" x14ac:dyDescent="0.35">
      <c r="A9" t="s">
        <v>144</v>
      </c>
      <c r="B9">
        <v>2</v>
      </c>
      <c r="C9">
        <f t="shared" si="0"/>
        <v>0</v>
      </c>
      <c r="D9">
        <f t="shared" si="1"/>
        <v>1</v>
      </c>
      <c r="E9">
        <f t="shared" si="2"/>
        <v>10201</v>
      </c>
      <c r="F9">
        <v>8</v>
      </c>
    </row>
    <row r="10" spans="1:6" x14ac:dyDescent="0.35">
      <c r="A10" t="s">
        <v>144</v>
      </c>
      <c r="B10">
        <v>3</v>
      </c>
      <c r="C10">
        <f t="shared" si="0"/>
        <v>0</v>
      </c>
      <c r="D10">
        <f t="shared" si="1"/>
        <v>1</v>
      </c>
      <c r="E10">
        <f t="shared" si="2"/>
        <v>10301</v>
      </c>
      <c r="F10">
        <v>8</v>
      </c>
    </row>
    <row r="11" spans="1:6" x14ac:dyDescent="0.35">
      <c r="A11" t="s">
        <v>144</v>
      </c>
      <c r="B11">
        <v>4</v>
      </c>
      <c r="C11">
        <f t="shared" si="0"/>
        <v>0</v>
      </c>
      <c r="D11">
        <f t="shared" si="1"/>
        <v>1</v>
      </c>
      <c r="E11">
        <f t="shared" si="2"/>
        <v>10401</v>
      </c>
      <c r="F11">
        <v>4</v>
      </c>
    </row>
    <row r="12" spans="1:6" x14ac:dyDescent="0.35">
      <c r="A12" t="s">
        <v>144</v>
      </c>
      <c r="B12">
        <v>6</v>
      </c>
      <c r="C12">
        <f t="shared" si="0"/>
        <v>0</v>
      </c>
      <c r="D12">
        <f t="shared" si="1"/>
        <v>1</v>
      </c>
      <c r="E12">
        <f t="shared" si="2"/>
        <v>10601</v>
      </c>
      <c r="F12">
        <v>4</v>
      </c>
    </row>
    <row r="13" spans="1:6" x14ac:dyDescent="0.35">
      <c r="A13" t="s">
        <v>144</v>
      </c>
      <c r="B13">
        <v>12</v>
      </c>
      <c r="C13">
        <f t="shared" si="0"/>
        <v>0</v>
      </c>
      <c r="D13">
        <f t="shared" si="1"/>
        <v>1</v>
      </c>
      <c r="E13">
        <f t="shared" si="2"/>
        <v>11201</v>
      </c>
      <c r="F13">
        <v>2</v>
      </c>
    </row>
    <row r="14" spans="1:6" x14ac:dyDescent="0.35">
      <c r="A14" t="s">
        <v>145</v>
      </c>
      <c r="B14">
        <v>1</v>
      </c>
      <c r="C14">
        <f t="shared" si="0"/>
        <v>1</v>
      </c>
      <c r="D14">
        <f t="shared" si="1"/>
        <v>0</v>
      </c>
      <c r="E14">
        <f t="shared" si="2"/>
        <v>20101</v>
      </c>
      <c r="F14">
        <v>16</v>
      </c>
    </row>
    <row r="15" spans="1:6" x14ac:dyDescent="0.35">
      <c r="A15" t="s">
        <v>145</v>
      </c>
      <c r="B15">
        <v>2</v>
      </c>
      <c r="C15">
        <f t="shared" si="0"/>
        <v>1</v>
      </c>
      <c r="D15">
        <f t="shared" si="1"/>
        <v>0</v>
      </c>
      <c r="E15">
        <f t="shared" si="2"/>
        <v>20201</v>
      </c>
      <c r="F15">
        <v>8</v>
      </c>
    </row>
    <row r="16" spans="1:6" x14ac:dyDescent="0.35">
      <c r="A16" t="s">
        <v>145</v>
      </c>
      <c r="B16">
        <v>3</v>
      </c>
      <c r="C16">
        <f t="shared" si="0"/>
        <v>1</v>
      </c>
      <c r="D16">
        <f t="shared" si="1"/>
        <v>0</v>
      </c>
      <c r="E16">
        <f t="shared" si="2"/>
        <v>20301</v>
      </c>
      <c r="F16">
        <v>4</v>
      </c>
    </row>
    <row r="17" spans="1:6" x14ac:dyDescent="0.35">
      <c r="A17" t="s">
        <v>145</v>
      </c>
      <c r="B17">
        <v>4</v>
      </c>
      <c r="C17">
        <f t="shared" si="0"/>
        <v>1</v>
      </c>
      <c r="D17">
        <f t="shared" si="1"/>
        <v>0</v>
      </c>
      <c r="E17">
        <f t="shared" si="2"/>
        <v>20401</v>
      </c>
      <c r="F17">
        <v>4</v>
      </c>
    </row>
    <row r="18" spans="1:6" x14ac:dyDescent="0.35">
      <c r="A18" t="s">
        <v>145</v>
      </c>
      <c r="B18">
        <v>6</v>
      </c>
      <c r="C18">
        <f t="shared" si="0"/>
        <v>1</v>
      </c>
      <c r="D18">
        <f t="shared" si="1"/>
        <v>0</v>
      </c>
      <c r="E18">
        <f t="shared" si="2"/>
        <v>20601</v>
      </c>
      <c r="F18">
        <v>2</v>
      </c>
    </row>
    <row r="19" spans="1:6" x14ac:dyDescent="0.35">
      <c r="A19" t="s">
        <v>145</v>
      </c>
      <c r="B19">
        <v>12</v>
      </c>
      <c r="C19">
        <f t="shared" si="0"/>
        <v>1</v>
      </c>
      <c r="D19">
        <f t="shared" si="1"/>
        <v>0</v>
      </c>
      <c r="E19">
        <f t="shared" si="2"/>
        <v>21201</v>
      </c>
      <c r="F19">
        <v>1</v>
      </c>
    </row>
    <row r="20" spans="1:6" x14ac:dyDescent="0.35">
      <c r="A20" t="s">
        <v>146</v>
      </c>
      <c r="B20">
        <v>1</v>
      </c>
      <c r="C20">
        <f t="shared" si="0"/>
        <v>1</v>
      </c>
      <c r="D20">
        <f t="shared" si="1"/>
        <v>1</v>
      </c>
      <c r="E20">
        <f t="shared" si="2"/>
        <v>30101</v>
      </c>
      <c r="F20">
        <v>8</v>
      </c>
    </row>
    <row r="21" spans="1:6" x14ac:dyDescent="0.35">
      <c r="A21" t="s">
        <v>146</v>
      </c>
      <c r="B21">
        <v>2</v>
      </c>
      <c r="C21">
        <f t="shared" si="0"/>
        <v>1</v>
      </c>
      <c r="D21">
        <f t="shared" si="1"/>
        <v>1</v>
      </c>
      <c r="E21">
        <f t="shared" si="2"/>
        <v>30201</v>
      </c>
      <c r="F21">
        <v>4</v>
      </c>
    </row>
    <row r="22" spans="1:6" x14ac:dyDescent="0.35">
      <c r="A22" t="s">
        <v>146</v>
      </c>
      <c r="B22">
        <v>3</v>
      </c>
      <c r="C22">
        <f t="shared" si="0"/>
        <v>1</v>
      </c>
      <c r="D22">
        <f t="shared" si="1"/>
        <v>1</v>
      </c>
      <c r="E22">
        <f t="shared" si="2"/>
        <v>30301</v>
      </c>
      <c r="F22">
        <v>4</v>
      </c>
    </row>
    <row r="23" spans="1:6" x14ac:dyDescent="0.35">
      <c r="A23" t="s">
        <v>146</v>
      </c>
      <c r="B23">
        <v>4</v>
      </c>
      <c r="C23">
        <f t="shared" si="0"/>
        <v>1</v>
      </c>
      <c r="D23">
        <f t="shared" si="1"/>
        <v>1</v>
      </c>
      <c r="E23">
        <f t="shared" si="2"/>
        <v>30401</v>
      </c>
      <c r="F23">
        <v>2</v>
      </c>
    </row>
    <row r="24" spans="1:6" x14ac:dyDescent="0.35">
      <c r="A24" t="s">
        <v>146</v>
      </c>
      <c r="B24">
        <v>6</v>
      </c>
      <c r="C24">
        <f t="shared" si="0"/>
        <v>1</v>
      </c>
      <c r="D24">
        <f t="shared" si="1"/>
        <v>1</v>
      </c>
      <c r="E24">
        <f t="shared" si="2"/>
        <v>30601</v>
      </c>
      <c r="F24">
        <v>2</v>
      </c>
    </row>
    <row r="25" spans="1:6" x14ac:dyDescent="0.35">
      <c r="A25" t="s">
        <v>146</v>
      </c>
      <c r="B25">
        <v>12</v>
      </c>
      <c r="C25">
        <f t="shared" si="0"/>
        <v>1</v>
      </c>
      <c r="D25">
        <f t="shared" si="1"/>
        <v>1</v>
      </c>
      <c r="E25">
        <f t="shared" si="2"/>
        <v>31201</v>
      </c>
      <c r="F25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6C293-A6A1-4A87-86E1-DD68F39DD6E8}">
  <dimension ref="A1:I134"/>
  <sheetViews>
    <sheetView workbookViewId="0">
      <selection activeCell="G18" sqref="G18"/>
    </sheetView>
  </sheetViews>
  <sheetFormatPr defaultRowHeight="14.5" x14ac:dyDescent="0.35"/>
  <cols>
    <col min="3" max="3" width="11" customWidth="1"/>
  </cols>
  <sheetData>
    <row r="1" spans="1:9" ht="29" x14ac:dyDescent="0.35">
      <c r="A1" s="1" t="s">
        <v>147</v>
      </c>
      <c r="B1" s="1" t="s">
        <v>143</v>
      </c>
      <c r="C1" s="1" t="s">
        <v>23</v>
      </c>
      <c r="D1" s="1" t="s">
        <v>148</v>
      </c>
      <c r="E1" s="1" t="s">
        <v>149</v>
      </c>
      <c r="F1" s="1"/>
      <c r="G1" s="1" t="s">
        <v>150</v>
      </c>
      <c r="H1" s="1" t="s">
        <v>151</v>
      </c>
    </row>
    <row r="2" spans="1:9" x14ac:dyDescent="0.35">
      <c r="A2" s="1" t="s">
        <v>138</v>
      </c>
      <c r="B2" s="1">
        <f>IF(OR(A2="4T4R",A2="4T4R_LS"),0,1)</f>
        <v>0</v>
      </c>
      <c r="C2" s="1">
        <f>IF(OR(A2="8T8R_LS",A2="4T4R_LS"),1,0)</f>
        <v>0</v>
      </c>
      <c r="D2" s="1">
        <v>1</v>
      </c>
      <c r="E2" s="1">
        <v>1</v>
      </c>
      <c r="F2" s="1">
        <f>10000*(2*B2+C2)+100*D2+E2</f>
        <v>101</v>
      </c>
      <c r="G2" s="1">
        <v>144</v>
      </c>
      <c r="H2" s="1">
        <v>128</v>
      </c>
      <c r="I2" s="1">
        <v>0</v>
      </c>
    </row>
    <row r="3" spans="1:9" x14ac:dyDescent="0.35">
      <c r="A3" s="1" t="s">
        <v>138</v>
      </c>
      <c r="B3" s="1">
        <f t="shared" ref="B3:B66" si="0">IF(OR(A3="4T4R",A3="4T4R_LS"),0,1)</f>
        <v>0</v>
      </c>
      <c r="C3" s="1">
        <f t="shared" ref="C3:C66" si="1">IF(OR(A3="8T8R_LS",A3="4T4R_LS"),1,0)</f>
        <v>0</v>
      </c>
      <c r="D3" s="1">
        <v>1</v>
      </c>
      <c r="E3" s="1">
        <v>2</v>
      </c>
      <c r="F3" s="1">
        <f t="shared" ref="F3:F66" si="2">10000*(2*B3+C3)+100*D3+E3</f>
        <v>102</v>
      </c>
      <c r="G3" s="1">
        <v>144</v>
      </c>
      <c r="H3" s="1">
        <v>144</v>
      </c>
      <c r="I3" s="1">
        <v>0</v>
      </c>
    </row>
    <row r="4" spans="1:9" x14ac:dyDescent="0.35">
      <c r="A4" s="1" t="s">
        <v>138</v>
      </c>
      <c r="B4" s="1">
        <f t="shared" si="0"/>
        <v>0</v>
      </c>
      <c r="C4" s="1">
        <f t="shared" si="1"/>
        <v>0</v>
      </c>
      <c r="D4" s="1">
        <v>1</v>
      </c>
      <c r="E4" s="1">
        <v>4</v>
      </c>
      <c r="F4" s="1">
        <f t="shared" si="2"/>
        <v>104</v>
      </c>
      <c r="G4" s="1">
        <v>144</v>
      </c>
      <c r="H4" s="1">
        <v>176</v>
      </c>
      <c r="I4" s="1">
        <v>0</v>
      </c>
    </row>
    <row r="5" spans="1:9" x14ac:dyDescent="0.35">
      <c r="A5" s="1" t="s">
        <v>138</v>
      </c>
      <c r="B5" s="1">
        <f t="shared" si="0"/>
        <v>0</v>
      </c>
      <c r="C5" s="1">
        <f t="shared" si="1"/>
        <v>0</v>
      </c>
      <c r="D5" s="1">
        <v>1</v>
      </c>
      <c r="E5" s="1">
        <v>8</v>
      </c>
      <c r="F5" s="1">
        <f t="shared" si="2"/>
        <v>108</v>
      </c>
      <c r="G5" s="1">
        <v>144</v>
      </c>
      <c r="H5" s="1">
        <v>240</v>
      </c>
      <c r="I5" s="1">
        <v>0</v>
      </c>
    </row>
    <row r="6" spans="1:9" x14ac:dyDescent="0.35">
      <c r="A6" s="1" t="s">
        <v>138</v>
      </c>
      <c r="B6" s="1">
        <f t="shared" si="0"/>
        <v>0</v>
      </c>
      <c r="C6" s="1">
        <f t="shared" si="1"/>
        <v>0</v>
      </c>
      <c r="D6" s="1">
        <v>1</v>
      </c>
      <c r="E6" s="1">
        <v>16</v>
      </c>
      <c r="F6" s="1">
        <f t="shared" si="2"/>
        <v>116</v>
      </c>
      <c r="G6" s="1">
        <v>144</v>
      </c>
      <c r="H6" s="1">
        <v>480</v>
      </c>
      <c r="I6" s="1">
        <v>0</v>
      </c>
    </row>
    <row r="7" spans="1:9" x14ac:dyDescent="0.35">
      <c r="A7" s="1" t="s">
        <v>138</v>
      </c>
      <c r="B7" s="1">
        <f t="shared" si="0"/>
        <v>0</v>
      </c>
      <c r="C7" s="1">
        <f t="shared" si="1"/>
        <v>0</v>
      </c>
      <c r="D7" s="1">
        <v>1</v>
      </c>
      <c r="E7" s="1">
        <v>32</v>
      </c>
      <c r="F7" s="1">
        <f t="shared" si="2"/>
        <v>132</v>
      </c>
      <c r="G7" s="1">
        <v>144</v>
      </c>
      <c r="H7" s="1">
        <v>960</v>
      </c>
      <c r="I7" s="1">
        <v>0</v>
      </c>
    </row>
    <row r="8" spans="1:9" x14ac:dyDescent="0.35">
      <c r="A8" s="1" t="s">
        <v>138</v>
      </c>
      <c r="B8" s="1">
        <f t="shared" si="0"/>
        <v>0</v>
      </c>
      <c r="C8" s="1">
        <f t="shared" si="1"/>
        <v>0</v>
      </c>
      <c r="D8" s="1">
        <v>1</v>
      </c>
      <c r="E8" s="1">
        <v>64</v>
      </c>
      <c r="F8" s="1">
        <f t="shared" si="2"/>
        <v>164</v>
      </c>
      <c r="G8" s="1">
        <v>144</v>
      </c>
      <c r="H8" s="1">
        <v>1920</v>
      </c>
      <c r="I8" s="1">
        <v>0</v>
      </c>
    </row>
    <row r="9" spans="1:9" x14ac:dyDescent="0.35">
      <c r="A9" s="1" t="s">
        <v>138</v>
      </c>
      <c r="B9" s="1">
        <f t="shared" si="0"/>
        <v>0</v>
      </c>
      <c r="C9" s="1">
        <f t="shared" si="1"/>
        <v>0</v>
      </c>
      <c r="D9" s="1">
        <v>2</v>
      </c>
      <c r="E9" s="1">
        <v>1</v>
      </c>
      <c r="F9" s="1">
        <f t="shared" si="2"/>
        <v>201</v>
      </c>
      <c r="G9" s="1">
        <v>288</v>
      </c>
      <c r="H9" s="1">
        <v>256</v>
      </c>
      <c r="I9" s="1">
        <v>0</v>
      </c>
    </row>
    <row r="10" spans="1:9" x14ac:dyDescent="0.35">
      <c r="A10" s="1" t="s">
        <v>138</v>
      </c>
      <c r="B10" s="1">
        <f t="shared" si="0"/>
        <v>0</v>
      </c>
      <c r="C10" s="1">
        <f t="shared" si="1"/>
        <v>0</v>
      </c>
      <c r="D10" s="1">
        <v>2</v>
      </c>
      <c r="E10" s="1">
        <v>2</v>
      </c>
      <c r="F10" s="1">
        <f t="shared" si="2"/>
        <v>202</v>
      </c>
      <c r="G10" s="1">
        <v>288</v>
      </c>
      <c r="H10" s="1">
        <v>288</v>
      </c>
      <c r="I10" s="1">
        <v>0</v>
      </c>
    </row>
    <row r="11" spans="1:9" x14ac:dyDescent="0.35">
      <c r="A11" s="1" t="s">
        <v>138</v>
      </c>
      <c r="B11" s="1">
        <f t="shared" si="0"/>
        <v>0</v>
      </c>
      <c r="C11" s="1">
        <f t="shared" si="1"/>
        <v>0</v>
      </c>
      <c r="D11" s="1">
        <v>2</v>
      </c>
      <c r="E11" s="1">
        <v>4</v>
      </c>
      <c r="F11" s="1">
        <f t="shared" si="2"/>
        <v>204</v>
      </c>
      <c r="G11" s="1">
        <v>288</v>
      </c>
      <c r="H11" s="1">
        <v>352</v>
      </c>
      <c r="I11" s="1">
        <v>0</v>
      </c>
    </row>
    <row r="12" spans="1:9" x14ac:dyDescent="0.35">
      <c r="A12" s="1" t="s">
        <v>138</v>
      </c>
      <c r="B12" s="1">
        <f t="shared" si="0"/>
        <v>0</v>
      </c>
      <c r="C12" s="1">
        <f t="shared" si="1"/>
        <v>0</v>
      </c>
      <c r="D12" s="1">
        <v>2</v>
      </c>
      <c r="E12" s="1">
        <v>8</v>
      </c>
      <c r="F12" s="1">
        <f t="shared" si="2"/>
        <v>208</v>
      </c>
      <c r="G12" s="1">
        <v>288</v>
      </c>
      <c r="H12" s="1">
        <v>480</v>
      </c>
      <c r="I12" s="1">
        <v>0</v>
      </c>
    </row>
    <row r="13" spans="1:9" x14ac:dyDescent="0.35">
      <c r="A13" s="1" t="s">
        <v>138</v>
      </c>
      <c r="B13" s="1">
        <f t="shared" si="0"/>
        <v>0</v>
      </c>
      <c r="C13" s="1">
        <f t="shared" si="1"/>
        <v>0</v>
      </c>
      <c r="D13" s="1">
        <v>2</v>
      </c>
      <c r="E13" s="1">
        <v>16</v>
      </c>
      <c r="F13" s="1">
        <f t="shared" si="2"/>
        <v>216</v>
      </c>
      <c r="G13" s="1">
        <v>288</v>
      </c>
      <c r="H13" s="1">
        <v>960</v>
      </c>
      <c r="I13" s="1">
        <v>0</v>
      </c>
    </row>
    <row r="14" spans="1:9" x14ac:dyDescent="0.35">
      <c r="A14" s="1" t="s">
        <v>138</v>
      </c>
      <c r="B14" s="1">
        <f t="shared" si="0"/>
        <v>0</v>
      </c>
      <c r="C14" s="1">
        <f t="shared" si="1"/>
        <v>0</v>
      </c>
      <c r="D14" s="1">
        <v>2</v>
      </c>
      <c r="E14" s="1">
        <v>32</v>
      </c>
      <c r="F14" s="1">
        <f t="shared" si="2"/>
        <v>232</v>
      </c>
      <c r="G14" s="1">
        <v>288</v>
      </c>
      <c r="H14" s="1">
        <v>1920</v>
      </c>
      <c r="I14" s="1">
        <v>0</v>
      </c>
    </row>
    <row r="15" spans="1:9" x14ac:dyDescent="0.35">
      <c r="A15" s="1" t="s">
        <v>138</v>
      </c>
      <c r="B15" s="1">
        <f t="shared" si="0"/>
        <v>0</v>
      </c>
      <c r="C15" s="1">
        <f t="shared" si="1"/>
        <v>0</v>
      </c>
      <c r="D15" s="1">
        <v>2</v>
      </c>
      <c r="E15" s="1">
        <v>64</v>
      </c>
      <c r="F15" s="1">
        <f t="shared" si="2"/>
        <v>264</v>
      </c>
      <c r="G15" s="1">
        <v>288</v>
      </c>
      <c r="H15" s="1">
        <v>3840</v>
      </c>
      <c r="I15" s="1">
        <v>0</v>
      </c>
    </row>
    <row r="16" spans="1:9" x14ac:dyDescent="0.35">
      <c r="A16" s="1" t="s">
        <v>138</v>
      </c>
      <c r="B16" s="1">
        <f t="shared" si="0"/>
        <v>0</v>
      </c>
      <c r="C16" s="1">
        <f t="shared" si="1"/>
        <v>0</v>
      </c>
      <c r="D16" s="1">
        <v>3</v>
      </c>
      <c r="E16" s="1">
        <v>1</v>
      </c>
      <c r="F16" s="1">
        <f t="shared" si="2"/>
        <v>301</v>
      </c>
      <c r="G16" s="1">
        <v>432</v>
      </c>
      <c r="H16" s="1">
        <v>384</v>
      </c>
      <c r="I16" s="1">
        <v>0</v>
      </c>
    </row>
    <row r="17" spans="1:9" x14ac:dyDescent="0.35">
      <c r="A17" s="1" t="s">
        <v>138</v>
      </c>
      <c r="B17" s="1">
        <f t="shared" si="0"/>
        <v>0</v>
      </c>
      <c r="C17" s="1">
        <f t="shared" si="1"/>
        <v>0</v>
      </c>
      <c r="D17" s="1">
        <v>3</v>
      </c>
      <c r="E17" s="1">
        <v>2</v>
      </c>
      <c r="F17" s="1">
        <f t="shared" si="2"/>
        <v>302</v>
      </c>
      <c r="G17" s="1">
        <v>432</v>
      </c>
      <c r="H17" s="1">
        <v>576</v>
      </c>
      <c r="I17" s="1">
        <v>0</v>
      </c>
    </row>
    <row r="18" spans="1:9" x14ac:dyDescent="0.35">
      <c r="A18" s="1" t="s">
        <v>138</v>
      </c>
      <c r="B18" s="1">
        <f t="shared" si="0"/>
        <v>0</v>
      </c>
      <c r="C18" s="1">
        <f t="shared" si="1"/>
        <v>0</v>
      </c>
      <c r="D18" s="1">
        <v>3</v>
      </c>
      <c r="E18" s="1">
        <v>4</v>
      </c>
      <c r="F18" s="1">
        <f t="shared" si="2"/>
        <v>304</v>
      </c>
      <c r="G18" s="1">
        <v>432</v>
      </c>
      <c r="H18" s="1">
        <v>672</v>
      </c>
      <c r="I18" s="1">
        <v>0</v>
      </c>
    </row>
    <row r="19" spans="1:9" x14ac:dyDescent="0.35">
      <c r="A19" s="1" t="s">
        <v>138</v>
      </c>
      <c r="B19" s="1">
        <f t="shared" si="0"/>
        <v>0</v>
      </c>
      <c r="C19" s="1">
        <f t="shared" si="1"/>
        <v>0</v>
      </c>
      <c r="D19" s="1">
        <v>3</v>
      </c>
      <c r="E19" s="1">
        <v>8</v>
      </c>
      <c r="F19" s="1">
        <f t="shared" si="2"/>
        <v>308</v>
      </c>
      <c r="G19" s="1">
        <v>432</v>
      </c>
      <c r="H19" s="1">
        <v>864</v>
      </c>
      <c r="I19" s="1">
        <v>0</v>
      </c>
    </row>
    <row r="20" spans="1:9" x14ac:dyDescent="0.35">
      <c r="A20" s="1" t="s">
        <v>138</v>
      </c>
      <c r="B20" s="1">
        <f t="shared" si="0"/>
        <v>0</v>
      </c>
      <c r="C20" s="1">
        <f t="shared" si="1"/>
        <v>0</v>
      </c>
      <c r="D20" s="1">
        <v>3</v>
      </c>
      <c r="E20" s="1">
        <v>16</v>
      </c>
      <c r="F20" s="1">
        <f t="shared" si="2"/>
        <v>316</v>
      </c>
      <c r="G20" s="1">
        <v>432</v>
      </c>
      <c r="H20" s="1">
        <v>1440</v>
      </c>
      <c r="I20" s="1">
        <v>0</v>
      </c>
    </row>
    <row r="21" spans="1:9" x14ac:dyDescent="0.35">
      <c r="A21" s="1" t="s">
        <v>138</v>
      </c>
      <c r="B21" s="1">
        <f t="shared" si="0"/>
        <v>0</v>
      </c>
      <c r="C21" s="1">
        <f t="shared" si="1"/>
        <v>0</v>
      </c>
      <c r="D21" s="1">
        <v>3</v>
      </c>
      <c r="E21" s="1">
        <v>32</v>
      </c>
      <c r="F21" s="1">
        <f t="shared" si="2"/>
        <v>332</v>
      </c>
      <c r="G21" s="1">
        <v>432</v>
      </c>
      <c r="H21" s="1">
        <v>2880</v>
      </c>
      <c r="I21" s="1">
        <v>0</v>
      </c>
    </row>
    <row r="22" spans="1:9" x14ac:dyDescent="0.35">
      <c r="A22" s="1" t="s">
        <v>138</v>
      </c>
      <c r="B22" s="1">
        <f t="shared" si="0"/>
        <v>0</v>
      </c>
      <c r="C22" s="1">
        <f t="shared" si="1"/>
        <v>0</v>
      </c>
      <c r="D22" s="1">
        <v>3</v>
      </c>
      <c r="E22" s="1">
        <v>64</v>
      </c>
      <c r="F22" s="1">
        <f t="shared" si="2"/>
        <v>364</v>
      </c>
      <c r="G22" s="1">
        <v>432</v>
      </c>
      <c r="H22" s="1">
        <v>5760</v>
      </c>
      <c r="I22" s="1">
        <v>0</v>
      </c>
    </row>
    <row r="23" spans="1:9" x14ac:dyDescent="0.35">
      <c r="A23" s="1" t="s">
        <v>138</v>
      </c>
      <c r="B23" s="1">
        <f t="shared" si="0"/>
        <v>0</v>
      </c>
      <c r="C23" s="1">
        <f t="shared" si="1"/>
        <v>0</v>
      </c>
      <c r="D23" s="1">
        <v>4</v>
      </c>
      <c r="E23" s="1">
        <v>1</v>
      </c>
      <c r="F23" s="1">
        <f t="shared" si="2"/>
        <v>401</v>
      </c>
      <c r="G23" s="1">
        <v>576</v>
      </c>
      <c r="H23" s="1">
        <v>512</v>
      </c>
      <c r="I23" s="1">
        <v>0</v>
      </c>
    </row>
    <row r="24" spans="1:9" x14ac:dyDescent="0.35">
      <c r="A24" s="1" t="s">
        <v>138</v>
      </c>
      <c r="B24" s="1">
        <f t="shared" si="0"/>
        <v>0</v>
      </c>
      <c r="C24" s="1">
        <f t="shared" si="1"/>
        <v>0</v>
      </c>
      <c r="D24" s="1">
        <v>4</v>
      </c>
      <c r="E24" s="1">
        <v>2</v>
      </c>
      <c r="F24" s="1">
        <f t="shared" si="2"/>
        <v>402</v>
      </c>
      <c r="G24" s="1">
        <v>576</v>
      </c>
      <c r="H24" s="1">
        <v>576</v>
      </c>
      <c r="I24" s="1">
        <v>0</v>
      </c>
    </row>
    <row r="25" spans="1:9" x14ac:dyDescent="0.35">
      <c r="A25" s="1" t="s">
        <v>138</v>
      </c>
      <c r="B25" s="1">
        <f t="shared" si="0"/>
        <v>0</v>
      </c>
      <c r="C25" s="1">
        <f t="shared" si="1"/>
        <v>0</v>
      </c>
      <c r="D25" s="1">
        <v>4</v>
      </c>
      <c r="E25" s="1">
        <v>4</v>
      </c>
      <c r="F25" s="1">
        <f t="shared" si="2"/>
        <v>404</v>
      </c>
      <c r="G25" s="1">
        <v>576</v>
      </c>
      <c r="H25" s="1">
        <v>704</v>
      </c>
      <c r="I25" s="1">
        <v>0</v>
      </c>
    </row>
    <row r="26" spans="1:9" x14ac:dyDescent="0.35">
      <c r="A26" s="1" t="s">
        <v>138</v>
      </c>
      <c r="B26" s="1">
        <f t="shared" si="0"/>
        <v>0</v>
      </c>
      <c r="C26" s="1">
        <f t="shared" si="1"/>
        <v>0</v>
      </c>
      <c r="D26" s="1">
        <v>4</v>
      </c>
      <c r="E26" s="1">
        <v>8</v>
      </c>
      <c r="F26" s="1">
        <f t="shared" si="2"/>
        <v>408</v>
      </c>
      <c r="G26" s="1">
        <v>576</v>
      </c>
      <c r="H26" s="1">
        <v>960</v>
      </c>
      <c r="I26" s="1">
        <v>0</v>
      </c>
    </row>
    <row r="27" spans="1:9" x14ac:dyDescent="0.35">
      <c r="A27" s="1" t="s">
        <v>138</v>
      </c>
      <c r="B27" s="1">
        <f t="shared" si="0"/>
        <v>0</v>
      </c>
      <c r="C27" s="1">
        <f t="shared" si="1"/>
        <v>0</v>
      </c>
      <c r="D27" s="1">
        <v>4</v>
      </c>
      <c r="E27" s="1">
        <v>16</v>
      </c>
      <c r="F27" s="1">
        <f t="shared" si="2"/>
        <v>416</v>
      </c>
      <c r="G27" s="1">
        <v>576</v>
      </c>
      <c r="H27" s="1">
        <v>1920</v>
      </c>
      <c r="I27" s="1">
        <v>0</v>
      </c>
    </row>
    <row r="28" spans="1:9" x14ac:dyDescent="0.35">
      <c r="A28" s="1" t="s">
        <v>138</v>
      </c>
      <c r="B28" s="1">
        <f t="shared" si="0"/>
        <v>0</v>
      </c>
      <c r="C28" s="1">
        <f t="shared" si="1"/>
        <v>0</v>
      </c>
      <c r="D28" s="1">
        <v>4</v>
      </c>
      <c r="E28" s="1">
        <v>32</v>
      </c>
      <c r="F28" s="1">
        <f t="shared" si="2"/>
        <v>432</v>
      </c>
      <c r="G28" s="1">
        <v>576</v>
      </c>
      <c r="H28" s="1">
        <v>3840</v>
      </c>
      <c r="I28" s="1">
        <v>0</v>
      </c>
    </row>
    <row r="29" spans="1:9" x14ac:dyDescent="0.35">
      <c r="A29" s="1" t="s">
        <v>138</v>
      </c>
      <c r="B29" s="1">
        <f t="shared" si="0"/>
        <v>0</v>
      </c>
      <c r="C29" s="1">
        <f t="shared" si="1"/>
        <v>0</v>
      </c>
      <c r="D29" s="1">
        <v>4</v>
      </c>
      <c r="E29" s="1">
        <v>64</v>
      </c>
      <c r="F29" s="1">
        <f t="shared" si="2"/>
        <v>464</v>
      </c>
      <c r="G29" s="1">
        <v>576</v>
      </c>
      <c r="H29" s="1">
        <v>7680</v>
      </c>
      <c r="I29" s="1">
        <v>0</v>
      </c>
    </row>
    <row r="30" spans="1:9" x14ac:dyDescent="0.35">
      <c r="A30" s="1" t="s">
        <v>138</v>
      </c>
      <c r="B30" s="1">
        <f t="shared" si="0"/>
        <v>0</v>
      </c>
      <c r="C30" s="1">
        <f t="shared" si="1"/>
        <v>0</v>
      </c>
      <c r="D30" s="1">
        <v>6</v>
      </c>
      <c r="E30" s="1">
        <v>1</v>
      </c>
      <c r="F30" s="1">
        <f t="shared" si="2"/>
        <v>601</v>
      </c>
      <c r="G30" s="1">
        <v>864</v>
      </c>
      <c r="H30" s="1">
        <v>768</v>
      </c>
      <c r="I30" s="1">
        <v>0</v>
      </c>
    </row>
    <row r="31" spans="1:9" x14ac:dyDescent="0.35">
      <c r="A31" s="1" t="s">
        <v>138</v>
      </c>
      <c r="B31" s="1">
        <f t="shared" si="0"/>
        <v>0</v>
      </c>
      <c r="C31" s="1">
        <f t="shared" si="1"/>
        <v>0</v>
      </c>
      <c r="D31" s="1">
        <v>6</v>
      </c>
      <c r="E31" s="1">
        <v>2</v>
      </c>
      <c r="F31" s="1">
        <f t="shared" si="2"/>
        <v>602</v>
      </c>
      <c r="G31" s="1">
        <v>864</v>
      </c>
      <c r="H31" s="1">
        <v>864</v>
      </c>
      <c r="I31" s="1">
        <v>0</v>
      </c>
    </row>
    <row r="32" spans="1:9" x14ac:dyDescent="0.35">
      <c r="A32" s="1" t="s">
        <v>138</v>
      </c>
      <c r="B32" s="1">
        <f t="shared" si="0"/>
        <v>0</v>
      </c>
      <c r="C32" s="1">
        <f t="shared" si="1"/>
        <v>0</v>
      </c>
      <c r="D32" s="1">
        <v>6</v>
      </c>
      <c r="E32" s="1">
        <v>4</v>
      </c>
      <c r="F32" s="1">
        <f t="shared" si="2"/>
        <v>604</v>
      </c>
      <c r="G32" s="1">
        <v>864</v>
      </c>
      <c r="H32" s="1">
        <v>1056</v>
      </c>
      <c r="I32" s="1">
        <v>0</v>
      </c>
    </row>
    <row r="33" spans="1:9" x14ac:dyDescent="0.35">
      <c r="A33" s="1" t="s">
        <v>138</v>
      </c>
      <c r="B33" s="1">
        <f t="shared" si="0"/>
        <v>0</v>
      </c>
      <c r="C33" s="1">
        <f t="shared" si="1"/>
        <v>0</v>
      </c>
      <c r="D33" s="1">
        <v>6</v>
      </c>
      <c r="E33" s="1">
        <v>8</v>
      </c>
      <c r="F33" s="1">
        <f t="shared" si="2"/>
        <v>608</v>
      </c>
      <c r="G33" s="1">
        <v>864</v>
      </c>
      <c r="H33" s="1">
        <v>1440</v>
      </c>
      <c r="I33" s="1">
        <v>0</v>
      </c>
    </row>
    <row r="34" spans="1:9" x14ac:dyDescent="0.35">
      <c r="A34" s="1" t="s">
        <v>138</v>
      </c>
      <c r="B34" s="1">
        <f t="shared" si="0"/>
        <v>0</v>
      </c>
      <c r="C34" s="1">
        <f t="shared" si="1"/>
        <v>0</v>
      </c>
      <c r="D34" s="1">
        <v>6</v>
      </c>
      <c r="E34" s="1">
        <v>16</v>
      </c>
      <c r="F34" s="1">
        <f t="shared" si="2"/>
        <v>616</v>
      </c>
      <c r="G34" s="1">
        <v>864</v>
      </c>
      <c r="H34" s="1">
        <v>2880</v>
      </c>
      <c r="I34" s="1">
        <v>0</v>
      </c>
    </row>
    <row r="35" spans="1:9" x14ac:dyDescent="0.35">
      <c r="A35" s="1" t="s">
        <v>138</v>
      </c>
      <c r="B35" s="1">
        <f t="shared" si="0"/>
        <v>0</v>
      </c>
      <c r="C35" s="1">
        <f t="shared" si="1"/>
        <v>0</v>
      </c>
      <c r="D35" s="1">
        <v>6</v>
      </c>
      <c r="E35" s="1">
        <v>32</v>
      </c>
      <c r="F35" s="1">
        <f t="shared" si="2"/>
        <v>632</v>
      </c>
      <c r="G35" s="1">
        <v>864</v>
      </c>
      <c r="H35" s="1">
        <v>5760</v>
      </c>
      <c r="I35" s="1">
        <v>0</v>
      </c>
    </row>
    <row r="36" spans="1:9" x14ac:dyDescent="0.35">
      <c r="A36" s="1" t="s">
        <v>138</v>
      </c>
      <c r="B36" s="1">
        <f t="shared" si="0"/>
        <v>0</v>
      </c>
      <c r="C36" s="1">
        <f t="shared" si="1"/>
        <v>0</v>
      </c>
      <c r="D36" s="1">
        <v>6</v>
      </c>
      <c r="E36" s="1">
        <v>64</v>
      </c>
      <c r="F36" s="1">
        <f t="shared" si="2"/>
        <v>664</v>
      </c>
      <c r="G36" s="1">
        <v>864</v>
      </c>
      <c r="H36" s="1">
        <v>11520</v>
      </c>
      <c r="I36" s="1">
        <v>0</v>
      </c>
    </row>
    <row r="37" spans="1:9" x14ac:dyDescent="0.35">
      <c r="A37" s="1" t="s">
        <v>138</v>
      </c>
      <c r="B37" s="1">
        <f t="shared" si="0"/>
        <v>0</v>
      </c>
      <c r="C37" s="1">
        <f t="shared" si="1"/>
        <v>0</v>
      </c>
      <c r="D37" s="1">
        <v>12</v>
      </c>
      <c r="E37" s="1">
        <v>1</v>
      </c>
      <c r="F37" s="1">
        <f t="shared" si="2"/>
        <v>1201</v>
      </c>
      <c r="G37" s="1">
        <v>1056</v>
      </c>
      <c r="H37" s="1">
        <v>864</v>
      </c>
      <c r="I37" s="1">
        <v>0</v>
      </c>
    </row>
    <row r="38" spans="1:9" x14ac:dyDescent="0.35">
      <c r="A38" s="1" t="s">
        <v>138</v>
      </c>
      <c r="B38" s="1">
        <f t="shared" si="0"/>
        <v>0</v>
      </c>
      <c r="C38" s="1">
        <f t="shared" si="1"/>
        <v>0</v>
      </c>
      <c r="D38" s="1">
        <v>12</v>
      </c>
      <c r="E38" s="1">
        <v>2</v>
      </c>
      <c r="F38" s="1">
        <f t="shared" si="2"/>
        <v>1202</v>
      </c>
      <c r="G38" s="1">
        <v>1056</v>
      </c>
      <c r="H38" s="1">
        <v>1056</v>
      </c>
      <c r="I38" s="1">
        <v>0</v>
      </c>
    </row>
    <row r="39" spans="1:9" x14ac:dyDescent="0.35">
      <c r="A39" s="1" t="s">
        <v>138</v>
      </c>
      <c r="B39" s="1">
        <f t="shared" si="0"/>
        <v>0</v>
      </c>
      <c r="C39" s="1">
        <f t="shared" si="1"/>
        <v>0</v>
      </c>
      <c r="D39" s="1">
        <v>12</v>
      </c>
      <c r="E39" s="1">
        <v>4</v>
      </c>
      <c r="F39" s="1">
        <f t="shared" si="2"/>
        <v>1204</v>
      </c>
      <c r="G39" s="1">
        <v>1056</v>
      </c>
      <c r="H39" s="1">
        <v>1440</v>
      </c>
      <c r="I39" s="1">
        <v>0</v>
      </c>
    </row>
    <row r="40" spans="1:9" x14ac:dyDescent="0.35">
      <c r="A40" s="1" t="s">
        <v>138</v>
      </c>
      <c r="B40" s="1">
        <f t="shared" si="0"/>
        <v>0</v>
      </c>
      <c r="C40" s="1">
        <f t="shared" si="1"/>
        <v>0</v>
      </c>
      <c r="D40" s="1">
        <v>12</v>
      </c>
      <c r="E40" s="1">
        <v>8</v>
      </c>
      <c r="F40" s="1">
        <f t="shared" si="2"/>
        <v>1208</v>
      </c>
      <c r="G40" s="1">
        <v>1056</v>
      </c>
      <c r="H40" s="1">
        <v>2880</v>
      </c>
      <c r="I40" s="1">
        <v>0</v>
      </c>
    </row>
    <row r="41" spans="1:9" x14ac:dyDescent="0.35">
      <c r="A41" s="1" t="s">
        <v>138</v>
      </c>
      <c r="B41" s="1">
        <f t="shared" si="0"/>
        <v>0</v>
      </c>
      <c r="C41" s="1">
        <f t="shared" si="1"/>
        <v>0</v>
      </c>
      <c r="D41" s="1">
        <v>12</v>
      </c>
      <c r="E41" s="1">
        <v>16</v>
      </c>
      <c r="F41" s="1">
        <f t="shared" si="2"/>
        <v>1216</v>
      </c>
      <c r="G41" s="1">
        <v>1056</v>
      </c>
      <c r="H41" s="1">
        <v>5760</v>
      </c>
      <c r="I41" s="1">
        <v>0</v>
      </c>
    </row>
    <row r="42" spans="1:9" x14ac:dyDescent="0.35">
      <c r="A42" s="1" t="s">
        <v>138</v>
      </c>
      <c r="B42" s="1">
        <f t="shared" si="0"/>
        <v>0</v>
      </c>
      <c r="C42" s="1">
        <f t="shared" si="1"/>
        <v>0</v>
      </c>
      <c r="D42" s="1">
        <v>12</v>
      </c>
      <c r="E42" s="1">
        <v>32</v>
      </c>
      <c r="F42" s="1">
        <f t="shared" si="2"/>
        <v>1232</v>
      </c>
      <c r="G42" s="1">
        <v>1056</v>
      </c>
      <c r="H42" s="1">
        <v>11520</v>
      </c>
      <c r="I42" s="1">
        <v>0</v>
      </c>
    </row>
    <row r="43" spans="1:9" x14ac:dyDescent="0.35">
      <c r="A43" s="1" t="s">
        <v>138</v>
      </c>
      <c r="B43" s="1">
        <f t="shared" si="0"/>
        <v>0</v>
      </c>
      <c r="C43" s="1">
        <f t="shared" si="1"/>
        <v>0</v>
      </c>
      <c r="D43" s="1">
        <v>12</v>
      </c>
      <c r="E43" s="1">
        <v>64</v>
      </c>
      <c r="F43" s="1">
        <f t="shared" si="2"/>
        <v>1264</v>
      </c>
      <c r="G43" s="1">
        <v>1056</v>
      </c>
      <c r="H43" s="1">
        <v>23040</v>
      </c>
      <c r="I43" s="1">
        <v>0</v>
      </c>
    </row>
    <row r="44" spans="1:9" x14ac:dyDescent="0.35">
      <c r="A44" s="1" t="s">
        <v>17</v>
      </c>
      <c r="B44" s="1">
        <f t="shared" si="0"/>
        <v>0</v>
      </c>
      <c r="C44" s="1">
        <f t="shared" si="1"/>
        <v>1</v>
      </c>
      <c r="D44" s="1">
        <v>2</v>
      </c>
      <c r="E44" s="1">
        <v>1</v>
      </c>
      <c r="F44" s="1">
        <f t="shared" si="2"/>
        <v>10201</v>
      </c>
      <c r="G44" s="1">
        <v>176</v>
      </c>
      <c r="H44" s="1">
        <v>144</v>
      </c>
      <c r="I44" s="1">
        <v>0</v>
      </c>
    </row>
    <row r="45" spans="1:9" x14ac:dyDescent="0.35">
      <c r="A45" s="1" t="s">
        <v>17</v>
      </c>
      <c r="B45" s="1">
        <f t="shared" si="0"/>
        <v>0</v>
      </c>
      <c r="C45" s="1">
        <f t="shared" si="1"/>
        <v>1</v>
      </c>
      <c r="D45" s="1">
        <v>2</v>
      </c>
      <c r="E45" s="1">
        <v>2</v>
      </c>
      <c r="F45" s="1">
        <f t="shared" si="2"/>
        <v>10202</v>
      </c>
      <c r="G45" s="1">
        <v>176</v>
      </c>
      <c r="H45" s="1">
        <v>176</v>
      </c>
      <c r="I45" s="1">
        <v>0</v>
      </c>
    </row>
    <row r="46" spans="1:9" x14ac:dyDescent="0.35">
      <c r="A46" s="1" t="s">
        <v>17</v>
      </c>
      <c r="B46" s="1">
        <f t="shared" si="0"/>
        <v>0</v>
      </c>
      <c r="C46" s="1">
        <f t="shared" si="1"/>
        <v>1</v>
      </c>
      <c r="D46" s="1">
        <v>2</v>
      </c>
      <c r="E46" s="1">
        <v>4</v>
      </c>
      <c r="F46" s="1">
        <f t="shared" si="2"/>
        <v>10204</v>
      </c>
      <c r="G46" s="1">
        <v>176</v>
      </c>
      <c r="H46" s="1">
        <v>240</v>
      </c>
      <c r="I46" s="1">
        <v>0</v>
      </c>
    </row>
    <row r="47" spans="1:9" x14ac:dyDescent="0.35">
      <c r="A47" s="1" t="s">
        <v>17</v>
      </c>
      <c r="B47" s="1">
        <f t="shared" si="0"/>
        <v>0</v>
      </c>
      <c r="C47" s="1">
        <f t="shared" si="1"/>
        <v>1</v>
      </c>
      <c r="D47" s="1">
        <v>2</v>
      </c>
      <c r="E47" s="1">
        <v>8</v>
      </c>
      <c r="F47" s="1">
        <f t="shared" si="2"/>
        <v>10208</v>
      </c>
      <c r="G47" s="1">
        <v>176</v>
      </c>
      <c r="H47" s="1">
        <v>480</v>
      </c>
      <c r="I47" s="1">
        <v>0</v>
      </c>
    </row>
    <row r="48" spans="1:9" x14ac:dyDescent="0.35">
      <c r="A48" s="1" t="s">
        <v>17</v>
      </c>
      <c r="B48" s="1">
        <f t="shared" si="0"/>
        <v>0</v>
      </c>
      <c r="C48" s="1">
        <f t="shared" si="1"/>
        <v>1</v>
      </c>
      <c r="D48" s="1">
        <v>2</v>
      </c>
      <c r="E48" s="1">
        <v>16</v>
      </c>
      <c r="F48" s="1">
        <f t="shared" si="2"/>
        <v>10216</v>
      </c>
      <c r="G48" s="1">
        <v>176</v>
      </c>
      <c r="H48" s="1">
        <v>960</v>
      </c>
      <c r="I48" s="1">
        <v>0</v>
      </c>
    </row>
    <row r="49" spans="1:9" x14ac:dyDescent="0.35">
      <c r="A49" s="1" t="s">
        <v>17</v>
      </c>
      <c r="B49" s="1">
        <f t="shared" si="0"/>
        <v>0</v>
      </c>
      <c r="C49" s="1">
        <f t="shared" si="1"/>
        <v>1</v>
      </c>
      <c r="D49" s="1">
        <v>2</v>
      </c>
      <c r="E49" s="1">
        <v>32</v>
      </c>
      <c r="F49" s="1">
        <f t="shared" si="2"/>
        <v>10232</v>
      </c>
      <c r="G49" s="1">
        <v>176</v>
      </c>
      <c r="H49" s="1">
        <v>1920</v>
      </c>
      <c r="I49" s="1">
        <v>0</v>
      </c>
    </row>
    <row r="50" spans="1:9" x14ac:dyDescent="0.35">
      <c r="A50" s="1" t="s">
        <v>17</v>
      </c>
      <c r="B50" s="1">
        <f t="shared" si="0"/>
        <v>0</v>
      </c>
      <c r="C50" s="1">
        <f t="shared" si="1"/>
        <v>1</v>
      </c>
      <c r="D50" s="1">
        <v>2</v>
      </c>
      <c r="E50" s="1">
        <v>64</v>
      </c>
      <c r="F50" s="1">
        <f t="shared" si="2"/>
        <v>10264</v>
      </c>
      <c r="G50" s="1">
        <v>176</v>
      </c>
      <c r="H50" s="1">
        <v>3840</v>
      </c>
      <c r="I50" s="1">
        <v>0</v>
      </c>
    </row>
    <row r="51" spans="1:9" x14ac:dyDescent="0.35">
      <c r="A51" s="1" t="s">
        <v>17</v>
      </c>
      <c r="B51" s="1">
        <f t="shared" si="0"/>
        <v>0</v>
      </c>
      <c r="C51" s="1">
        <f t="shared" si="1"/>
        <v>1</v>
      </c>
      <c r="D51" s="1">
        <v>3</v>
      </c>
      <c r="E51" s="1">
        <v>1</v>
      </c>
      <c r="F51" s="1">
        <f t="shared" si="2"/>
        <v>10301</v>
      </c>
      <c r="G51" s="1">
        <v>432</v>
      </c>
      <c r="H51" s="1">
        <v>384</v>
      </c>
      <c r="I51" s="1">
        <v>0</v>
      </c>
    </row>
    <row r="52" spans="1:9" x14ac:dyDescent="0.35">
      <c r="A52" s="1" t="s">
        <v>17</v>
      </c>
      <c r="B52" s="1">
        <f t="shared" si="0"/>
        <v>0</v>
      </c>
      <c r="C52" s="1">
        <f t="shared" si="1"/>
        <v>1</v>
      </c>
      <c r="D52" s="1">
        <v>3</v>
      </c>
      <c r="E52" s="1">
        <v>2</v>
      </c>
      <c r="F52" s="1">
        <f t="shared" si="2"/>
        <v>10302</v>
      </c>
      <c r="G52" s="1">
        <v>432</v>
      </c>
      <c r="H52" s="1">
        <v>432</v>
      </c>
      <c r="I52" s="1">
        <v>0</v>
      </c>
    </row>
    <row r="53" spans="1:9" x14ac:dyDescent="0.35">
      <c r="A53" s="1" t="s">
        <v>17</v>
      </c>
      <c r="B53" s="1">
        <f t="shared" si="0"/>
        <v>0</v>
      </c>
      <c r="C53" s="1">
        <f t="shared" si="1"/>
        <v>1</v>
      </c>
      <c r="D53" s="1">
        <v>3</v>
      </c>
      <c r="E53" s="1">
        <v>4</v>
      </c>
      <c r="F53" s="1">
        <f t="shared" si="2"/>
        <v>10304</v>
      </c>
      <c r="G53" s="1">
        <v>432</v>
      </c>
      <c r="H53" s="1">
        <v>528</v>
      </c>
      <c r="I53" s="1">
        <v>0</v>
      </c>
    </row>
    <row r="54" spans="1:9" x14ac:dyDescent="0.35">
      <c r="A54" s="1" t="s">
        <v>17</v>
      </c>
      <c r="B54" s="1">
        <f t="shared" si="0"/>
        <v>0</v>
      </c>
      <c r="C54" s="1">
        <f t="shared" si="1"/>
        <v>1</v>
      </c>
      <c r="D54" s="1">
        <v>3</v>
      </c>
      <c r="E54" s="1">
        <v>8</v>
      </c>
      <c r="F54" s="1">
        <f t="shared" si="2"/>
        <v>10308</v>
      </c>
      <c r="G54" s="1">
        <v>432</v>
      </c>
      <c r="H54" s="1">
        <v>720</v>
      </c>
      <c r="I54" s="1">
        <v>0</v>
      </c>
    </row>
    <row r="55" spans="1:9" x14ac:dyDescent="0.35">
      <c r="A55" s="1" t="s">
        <v>17</v>
      </c>
      <c r="B55" s="1">
        <f t="shared" si="0"/>
        <v>0</v>
      </c>
      <c r="C55" s="1">
        <f t="shared" si="1"/>
        <v>1</v>
      </c>
      <c r="D55" s="1">
        <v>3</v>
      </c>
      <c r="E55" s="1">
        <v>16</v>
      </c>
      <c r="F55" s="1">
        <f t="shared" si="2"/>
        <v>10316</v>
      </c>
      <c r="G55" s="1">
        <v>432</v>
      </c>
      <c r="H55" s="1">
        <v>1440</v>
      </c>
      <c r="I55" s="1">
        <v>0</v>
      </c>
    </row>
    <row r="56" spans="1:9" x14ac:dyDescent="0.35">
      <c r="A56" s="1" t="s">
        <v>17</v>
      </c>
      <c r="B56" s="1">
        <f t="shared" si="0"/>
        <v>0</v>
      </c>
      <c r="C56" s="1">
        <f t="shared" si="1"/>
        <v>1</v>
      </c>
      <c r="D56" s="1">
        <v>3</v>
      </c>
      <c r="E56" s="1">
        <v>32</v>
      </c>
      <c r="F56" s="1">
        <f t="shared" si="2"/>
        <v>10332</v>
      </c>
      <c r="G56" s="1">
        <v>432</v>
      </c>
      <c r="H56" s="1">
        <v>2880</v>
      </c>
      <c r="I56" s="1">
        <v>0</v>
      </c>
    </row>
    <row r="57" spans="1:9" x14ac:dyDescent="0.35">
      <c r="A57" s="1" t="s">
        <v>17</v>
      </c>
      <c r="B57" s="1">
        <f t="shared" si="0"/>
        <v>0</v>
      </c>
      <c r="C57" s="1">
        <f t="shared" si="1"/>
        <v>1</v>
      </c>
      <c r="D57" s="1">
        <v>3</v>
      </c>
      <c r="E57" s="1">
        <v>64</v>
      </c>
      <c r="F57" s="1">
        <f t="shared" si="2"/>
        <v>10364</v>
      </c>
      <c r="G57" s="1">
        <v>432</v>
      </c>
      <c r="H57" s="1">
        <v>5760</v>
      </c>
      <c r="I57" s="1">
        <v>0</v>
      </c>
    </row>
    <row r="58" spans="1:9" x14ac:dyDescent="0.35">
      <c r="A58" s="1" t="s">
        <v>17</v>
      </c>
      <c r="B58" s="1">
        <f t="shared" si="0"/>
        <v>0</v>
      </c>
      <c r="C58" s="1">
        <f t="shared" si="1"/>
        <v>1</v>
      </c>
      <c r="D58" s="1">
        <v>4</v>
      </c>
      <c r="E58" s="1">
        <v>1</v>
      </c>
      <c r="F58" s="1">
        <f t="shared" si="2"/>
        <v>10401</v>
      </c>
      <c r="G58" s="1">
        <v>352</v>
      </c>
      <c r="H58" s="1">
        <v>288</v>
      </c>
      <c r="I58" s="1">
        <v>0</v>
      </c>
    </row>
    <row r="59" spans="1:9" x14ac:dyDescent="0.35">
      <c r="A59" s="1" t="s">
        <v>17</v>
      </c>
      <c r="B59" s="1">
        <f t="shared" si="0"/>
        <v>0</v>
      </c>
      <c r="C59" s="1">
        <f t="shared" si="1"/>
        <v>1</v>
      </c>
      <c r="D59" s="1">
        <v>4</v>
      </c>
      <c r="E59" s="1">
        <v>2</v>
      </c>
      <c r="F59" s="1">
        <f t="shared" si="2"/>
        <v>10402</v>
      </c>
      <c r="G59" s="1">
        <v>352</v>
      </c>
      <c r="H59" s="1">
        <v>352</v>
      </c>
      <c r="I59" s="1">
        <v>0</v>
      </c>
    </row>
    <row r="60" spans="1:9" x14ac:dyDescent="0.35">
      <c r="A60" s="1" t="s">
        <v>17</v>
      </c>
      <c r="B60" s="1">
        <f t="shared" si="0"/>
        <v>0</v>
      </c>
      <c r="C60" s="1">
        <f t="shared" si="1"/>
        <v>1</v>
      </c>
      <c r="D60" s="1">
        <v>4</v>
      </c>
      <c r="E60" s="1">
        <v>4</v>
      </c>
      <c r="F60" s="1">
        <f t="shared" si="2"/>
        <v>10404</v>
      </c>
      <c r="G60" s="1">
        <v>352</v>
      </c>
      <c r="H60" s="1">
        <v>480</v>
      </c>
      <c r="I60" s="1">
        <v>0</v>
      </c>
    </row>
    <row r="61" spans="1:9" x14ac:dyDescent="0.35">
      <c r="A61" s="1" t="s">
        <v>17</v>
      </c>
      <c r="B61" s="1">
        <f t="shared" si="0"/>
        <v>0</v>
      </c>
      <c r="C61" s="1">
        <f t="shared" si="1"/>
        <v>1</v>
      </c>
      <c r="D61" s="1">
        <v>4</v>
      </c>
      <c r="E61" s="1">
        <v>8</v>
      </c>
      <c r="F61" s="1">
        <f t="shared" si="2"/>
        <v>10408</v>
      </c>
      <c r="G61" s="1">
        <v>352</v>
      </c>
      <c r="H61" s="1">
        <v>960</v>
      </c>
      <c r="I61" s="1">
        <v>0</v>
      </c>
    </row>
    <row r="62" spans="1:9" x14ac:dyDescent="0.35">
      <c r="A62" s="1" t="s">
        <v>17</v>
      </c>
      <c r="B62" s="1">
        <f t="shared" si="0"/>
        <v>0</v>
      </c>
      <c r="C62" s="1">
        <f t="shared" si="1"/>
        <v>1</v>
      </c>
      <c r="D62" s="1">
        <v>4</v>
      </c>
      <c r="E62" s="1">
        <v>16</v>
      </c>
      <c r="F62" s="1">
        <f t="shared" si="2"/>
        <v>10416</v>
      </c>
      <c r="G62" s="1">
        <v>352</v>
      </c>
      <c r="H62" s="1">
        <v>1920</v>
      </c>
      <c r="I62" s="1">
        <v>0</v>
      </c>
    </row>
    <row r="63" spans="1:9" x14ac:dyDescent="0.35">
      <c r="A63" s="1" t="s">
        <v>17</v>
      </c>
      <c r="B63" s="1">
        <f t="shared" si="0"/>
        <v>0</v>
      </c>
      <c r="C63" s="1">
        <f t="shared" si="1"/>
        <v>1</v>
      </c>
      <c r="D63" s="1">
        <v>4</v>
      </c>
      <c r="E63" s="1">
        <v>32</v>
      </c>
      <c r="F63" s="1">
        <f t="shared" si="2"/>
        <v>10432</v>
      </c>
      <c r="G63" s="1">
        <v>352</v>
      </c>
      <c r="H63" s="1">
        <v>3840</v>
      </c>
      <c r="I63" s="1">
        <v>0</v>
      </c>
    </row>
    <row r="64" spans="1:9" x14ac:dyDescent="0.35">
      <c r="A64" s="1" t="s">
        <v>17</v>
      </c>
      <c r="B64" s="1">
        <f t="shared" si="0"/>
        <v>0</v>
      </c>
      <c r="C64" s="1">
        <f t="shared" si="1"/>
        <v>1</v>
      </c>
      <c r="D64" s="1">
        <v>4</v>
      </c>
      <c r="E64" s="1">
        <v>64</v>
      </c>
      <c r="F64" s="1">
        <f t="shared" si="2"/>
        <v>10464</v>
      </c>
      <c r="G64" s="1">
        <v>352</v>
      </c>
      <c r="H64" s="1">
        <v>7680</v>
      </c>
      <c r="I64" s="1">
        <v>0</v>
      </c>
    </row>
    <row r="65" spans="1:9" x14ac:dyDescent="0.35">
      <c r="A65" s="1" t="s">
        <v>17</v>
      </c>
      <c r="B65" s="1">
        <f t="shared" si="0"/>
        <v>0</v>
      </c>
      <c r="C65" s="1">
        <f t="shared" si="1"/>
        <v>1</v>
      </c>
      <c r="D65" s="1">
        <v>6</v>
      </c>
      <c r="E65" s="1">
        <v>1</v>
      </c>
      <c r="F65" s="1">
        <f t="shared" si="2"/>
        <v>10601</v>
      </c>
      <c r="G65" s="1">
        <v>528</v>
      </c>
      <c r="H65" s="1">
        <v>432</v>
      </c>
      <c r="I65" s="1">
        <v>0</v>
      </c>
    </row>
    <row r="66" spans="1:9" x14ac:dyDescent="0.35">
      <c r="A66" s="1" t="s">
        <v>17</v>
      </c>
      <c r="B66" s="1">
        <f t="shared" si="0"/>
        <v>0</v>
      </c>
      <c r="C66" s="1">
        <f t="shared" si="1"/>
        <v>1</v>
      </c>
      <c r="D66" s="1">
        <v>6</v>
      </c>
      <c r="E66" s="1">
        <v>2</v>
      </c>
      <c r="F66" s="1">
        <f t="shared" si="2"/>
        <v>10602</v>
      </c>
      <c r="G66" s="1">
        <v>528</v>
      </c>
      <c r="H66" s="1">
        <v>528</v>
      </c>
      <c r="I66" s="1">
        <v>0</v>
      </c>
    </row>
    <row r="67" spans="1:9" x14ac:dyDescent="0.35">
      <c r="A67" s="1" t="s">
        <v>17</v>
      </c>
      <c r="B67" s="1">
        <f t="shared" ref="B67:B130" si="3">IF(OR(A67="4T4R",A67="4T4R_LS"),0,1)</f>
        <v>0</v>
      </c>
      <c r="C67" s="1">
        <f t="shared" ref="C67:C130" si="4">IF(OR(A67="8T8R_LS",A67="4T4R_LS"),1,0)</f>
        <v>1</v>
      </c>
      <c r="D67" s="1">
        <v>6</v>
      </c>
      <c r="E67" s="1">
        <v>4</v>
      </c>
      <c r="F67" s="1">
        <f t="shared" ref="F67:F130" si="5">10000*(2*B67+C67)+100*D67+E67</f>
        <v>10604</v>
      </c>
      <c r="G67" s="1">
        <v>528</v>
      </c>
      <c r="H67" s="1">
        <v>720</v>
      </c>
      <c r="I67" s="1">
        <v>0</v>
      </c>
    </row>
    <row r="68" spans="1:9" x14ac:dyDescent="0.35">
      <c r="A68" s="1" t="s">
        <v>17</v>
      </c>
      <c r="B68" s="1">
        <f t="shared" si="3"/>
        <v>0</v>
      </c>
      <c r="C68" s="1">
        <f t="shared" si="4"/>
        <v>1</v>
      </c>
      <c r="D68" s="1">
        <v>6</v>
      </c>
      <c r="E68" s="1">
        <v>8</v>
      </c>
      <c r="F68" s="1">
        <f t="shared" si="5"/>
        <v>10608</v>
      </c>
      <c r="G68" s="1">
        <v>528</v>
      </c>
      <c r="H68" s="1">
        <v>1440</v>
      </c>
      <c r="I68" s="1">
        <v>0</v>
      </c>
    </row>
    <row r="69" spans="1:9" x14ac:dyDescent="0.35">
      <c r="A69" s="1" t="s">
        <v>17</v>
      </c>
      <c r="B69" s="1">
        <f t="shared" si="3"/>
        <v>0</v>
      </c>
      <c r="C69" s="1">
        <f t="shared" si="4"/>
        <v>1</v>
      </c>
      <c r="D69" s="1">
        <v>6</v>
      </c>
      <c r="E69" s="1">
        <v>16</v>
      </c>
      <c r="F69" s="1">
        <f t="shared" si="5"/>
        <v>10616</v>
      </c>
      <c r="G69" s="1">
        <v>528</v>
      </c>
      <c r="H69" s="1">
        <v>2880</v>
      </c>
      <c r="I69" s="1">
        <v>0</v>
      </c>
    </row>
    <row r="70" spans="1:9" x14ac:dyDescent="0.35">
      <c r="A70" s="1" t="s">
        <v>17</v>
      </c>
      <c r="B70" s="1">
        <f t="shared" si="3"/>
        <v>0</v>
      </c>
      <c r="C70" s="1">
        <f t="shared" si="4"/>
        <v>1</v>
      </c>
      <c r="D70" s="1">
        <v>6</v>
      </c>
      <c r="E70" s="1">
        <v>32</v>
      </c>
      <c r="F70" s="1">
        <f t="shared" si="5"/>
        <v>10632</v>
      </c>
      <c r="G70" s="1">
        <v>528</v>
      </c>
      <c r="H70" s="1">
        <v>5760</v>
      </c>
      <c r="I70" s="1">
        <v>0</v>
      </c>
    </row>
    <row r="71" spans="1:9" x14ac:dyDescent="0.35">
      <c r="A71" s="1" t="s">
        <v>17</v>
      </c>
      <c r="B71" s="1">
        <f t="shared" si="3"/>
        <v>0</v>
      </c>
      <c r="C71" s="1">
        <f t="shared" si="4"/>
        <v>1</v>
      </c>
      <c r="D71" s="1">
        <v>6</v>
      </c>
      <c r="E71" s="1">
        <v>64</v>
      </c>
      <c r="F71" s="1">
        <f t="shared" si="5"/>
        <v>10664</v>
      </c>
      <c r="G71" s="1">
        <v>528</v>
      </c>
      <c r="H71" s="1">
        <v>11520</v>
      </c>
      <c r="I71" s="1">
        <v>0</v>
      </c>
    </row>
    <row r="72" spans="1:9" x14ac:dyDescent="0.35">
      <c r="A72" s="1" t="s">
        <v>17</v>
      </c>
      <c r="B72" s="1">
        <f t="shared" si="3"/>
        <v>0</v>
      </c>
      <c r="C72" s="1">
        <f t="shared" si="4"/>
        <v>1</v>
      </c>
      <c r="D72" s="1">
        <v>12</v>
      </c>
      <c r="E72" s="1">
        <v>1</v>
      </c>
      <c r="F72" s="1">
        <f t="shared" si="5"/>
        <v>11201</v>
      </c>
      <c r="G72" s="1">
        <v>720</v>
      </c>
      <c r="H72" s="1">
        <v>528</v>
      </c>
      <c r="I72" s="1">
        <v>0</v>
      </c>
    </row>
    <row r="73" spans="1:9" x14ac:dyDescent="0.35">
      <c r="A73" s="1" t="s">
        <v>17</v>
      </c>
      <c r="B73" s="1">
        <f t="shared" si="3"/>
        <v>0</v>
      </c>
      <c r="C73" s="1">
        <f t="shared" si="4"/>
        <v>1</v>
      </c>
      <c r="D73" s="1">
        <v>12</v>
      </c>
      <c r="E73" s="1">
        <v>2</v>
      </c>
      <c r="F73" s="1">
        <f t="shared" si="5"/>
        <v>11202</v>
      </c>
      <c r="G73" s="1">
        <v>720</v>
      </c>
      <c r="H73" s="1">
        <v>720</v>
      </c>
      <c r="I73" s="1">
        <v>0</v>
      </c>
    </row>
    <row r="74" spans="1:9" x14ac:dyDescent="0.35">
      <c r="A74" s="1" t="s">
        <v>17</v>
      </c>
      <c r="B74" s="1">
        <f t="shared" si="3"/>
        <v>0</v>
      </c>
      <c r="C74" s="1">
        <f t="shared" si="4"/>
        <v>1</v>
      </c>
      <c r="D74" s="1">
        <v>12</v>
      </c>
      <c r="E74" s="1">
        <v>4</v>
      </c>
      <c r="F74" s="1">
        <f t="shared" si="5"/>
        <v>11204</v>
      </c>
      <c r="G74" s="1">
        <v>720</v>
      </c>
      <c r="H74" s="1">
        <v>1440</v>
      </c>
      <c r="I74" s="1">
        <v>0</v>
      </c>
    </row>
    <row r="75" spans="1:9" x14ac:dyDescent="0.35">
      <c r="A75" s="1" t="s">
        <v>17</v>
      </c>
      <c r="B75" s="1">
        <f t="shared" si="3"/>
        <v>0</v>
      </c>
      <c r="C75" s="1">
        <f t="shared" si="4"/>
        <v>1</v>
      </c>
      <c r="D75" s="1">
        <v>12</v>
      </c>
      <c r="E75" s="1">
        <v>8</v>
      </c>
      <c r="F75" s="1">
        <f t="shared" si="5"/>
        <v>11208</v>
      </c>
      <c r="G75" s="1">
        <v>720</v>
      </c>
      <c r="H75" s="1">
        <v>2880</v>
      </c>
      <c r="I75" s="1">
        <v>0</v>
      </c>
    </row>
    <row r="76" spans="1:9" x14ac:dyDescent="0.35">
      <c r="A76" s="1" t="s">
        <v>17</v>
      </c>
      <c r="B76" s="1">
        <f t="shared" si="3"/>
        <v>0</v>
      </c>
      <c r="C76" s="1">
        <f t="shared" si="4"/>
        <v>1</v>
      </c>
      <c r="D76" s="1">
        <v>12</v>
      </c>
      <c r="E76" s="1">
        <v>16</v>
      </c>
      <c r="F76" s="1">
        <f t="shared" si="5"/>
        <v>11216</v>
      </c>
      <c r="G76" s="1">
        <v>720</v>
      </c>
      <c r="H76" s="1">
        <v>5760</v>
      </c>
      <c r="I76" s="1">
        <v>0</v>
      </c>
    </row>
    <row r="77" spans="1:9" x14ac:dyDescent="0.35">
      <c r="A77" s="1" t="s">
        <v>17</v>
      </c>
      <c r="B77" s="1">
        <f t="shared" si="3"/>
        <v>0</v>
      </c>
      <c r="C77" s="1">
        <f t="shared" si="4"/>
        <v>1</v>
      </c>
      <c r="D77" s="1">
        <v>12</v>
      </c>
      <c r="E77" s="1">
        <v>32</v>
      </c>
      <c r="F77" s="1">
        <f t="shared" si="5"/>
        <v>11232</v>
      </c>
      <c r="G77" s="1">
        <v>720</v>
      </c>
      <c r="H77" s="1">
        <v>11520</v>
      </c>
      <c r="I77" s="1">
        <v>0</v>
      </c>
    </row>
    <row r="78" spans="1:9" x14ac:dyDescent="0.35">
      <c r="A78" s="1" t="s">
        <v>17</v>
      </c>
      <c r="B78" s="1">
        <f t="shared" si="3"/>
        <v>0</v>
      </c>
      <c r="C78" s="1">
        <f t="shared" si="4"/>
        <v>1</v>
      </c>
      <c r="D78" s="1">
        <v>12</v>
      </c>
      <c r="E78" s="1">
        <v>64</v>
      </c>
      <c r="F78" s="1">
        <f t="shared" si="5"/>
        <v>11264</v>
      </c>
      <c r="G78" s="1">
        <v>720</v>
      </c>
      <c r="H78" s="1">
        <v>23040</v>
      </c>
      <c r="I78" s="1">
        <v>0</v>
      </c>
    </row>
    <row r="79" spans="1:9" x14ac:dyDescent="0.35">
      <c r="A79" s="1" t="s">
        <v>18</v>
      </c>
      <c r="B79" s="1">
        <f t="shared" si="3"/>
        <v>1</v>
      </c>
      <c r="C79" s="1">
        <f t="shared" si="4"/>
        <v>0</v>
      </c>
      <c r="D79" s="1">
        <v>2</v>
      </c>
      <c r="E79" s="1">
        <v>1</v>
      </c>
      <c r="F79" s="1">
        <f t="shared" si="5"/>
        <v>20201</v>
      </c>
      <c r="G79" s="1">
        <v>144</v>
      </c>
      <c r="H79" s="1">
        <v>128</v>
      </c>
      <c r="I79" s="1">
        <v>0</v>
      </c>
    </row>
    <row r="80" spans="1:9" x14ac:dyDescent="0.35">
      <c r="A80" s="1" t="s">
        <v>18</v>
      </c>
      <c r="B80" s="1">
        <f t="shared" si="3"/>
        <v>1</v>
      </c>
      <c r="C80" s="1">
        <f t="shared" si="4"/>
        <v>0</v>
      </c>
      <c r="D80" s="1">
        <v>2</v>
      </c>
      <c r="E80" s="1">
        <v>2</v>
      </c>
      <c r="F80" s="1">
        <f t="shared" si="5"/>
        <v>20202</v>
      </c>
      <c r="G80" s="1">
        <v>144</v>
      </c>
      <c r="H80" s="1">
        <v>144</v>
      </c>
      <c r="I80" s="1">
        <v>0</v>
      </c>
    </row>
    <row r="81" spans="1:9" x14ac:dyDescent="0.35">
      <c r="A81" s="1" t="s">
        <v>18</v>
      </c>
      <c r="B81" s="1">
        <f t="shared" si="3"/>
        <v>1</v>
      </c>
      <c r="C81" s="1">
        <f t="shared" si="4"/>
        <v>0</v>
      </c>
      <c r="D81" s="1">
        <v>2</v>
      </c>
      <c r="E81" s="1">
        <v>4</v>
      </c>
      <c r="F81" s="1">
        <f t="shared" si="5"/>
        <v>20204</v>
      </c>
      <c r="G81" s="1">
        <v>144</v>
      </c>
      <c r="H81" s="1">
        <v>176</v>
      </c>
      <c r="I81" s="1">
        <v>0</v>
      </c>
    </row>
    <row r="82" spans="1:9" x14ac:dyDescent="0.35">
      <c r="A82" s="1" t="s">
        <v>18</v>
      </c>
      <c r="B82" s="1">
        <f t="shared" si="3"/>
        <v>1</v>
      </c>
      <c r="C82" s="1">
        <f t="shared" si="4"/>
        <v>0</v>
      </c>
      <c r="D82" s="1">
        <v>2</v>
      </c>
      <c r="E82" s="1">
        <v>8</v>
      </c>
      <c r="F82" s="1">
        <f t="shared" si="5"/>
        <v>20208</v>
      </c>
      <c r="G82" s="1">
        <v>144</v>
      </c>
      <c r="H82" s="1">
        <v>352</v>
      </c>
      <c r="I82" s="1">
        <v>0</v>
      </c>
    </row>
    <row r="83" spans="1:9" x14ac:dyDescent="0.35">
      <c r="A83" s="1" t="s">
        <v>18</v>
      </c>
      <c r="B83" s="1">
        <f t="shared" si="3"/>
        <v>1</v>
      </c>
      <c r="C83" s="1">
        <f t="shared" si="4"/>
        <v>0</v>
      </c>
      <c r="D83" s="1">
        <v>2</v>
      </c>
      <c r="E83" s="1">
        <v>16</v>
      </c>
      <c r="F83" s="1">
        <f t="shared" si="5"/>
        <v>20216</v>
      </c>
      <c r="G83" s="1">
        <v>144</v>
      </c>
      <c r="H83" s="1">
        <v>704</v>
      </c>
      <c r="I83" s="1">
        <v>0</v>
      </c>
    </row>
    <row r="84" spans="1:9" x14ac:dyDescent="0.35">
      <c r="A84" s="1" t="s">
        <v>18</v>
      </c>
      <c r="B84" s="1">
        <f t="shared" si="3"/>
        <v>1</v>
      </c>
      <c r="C84" s="1">
        <f t="shared" si="4"/>
        <v>0</v>
      </c>
      <c r="D84" s="1">
        <v>2</v>
      </c>
      <c r="E84" s="1">
        <v>32</v>
      </c>
      <c r="F84" s="1">
        <f t="shared" si="5"/>
        <v>20232</v>
      </c>
      <c r="G84" s="1">
        <v>144</v>
      </c>
      <c r="H84" s="1">
        <v>1408</v>
      </c>
      <c r="I84" s="1">
        <v>0</v>
      </c>
    </row>
    <row r="85" spans="1:9" x14ac:dyDescent="0.35">
      <c r="A85" s="1" t="s">
        <v>18</v>
      </c>
      <c r="B85" s="1">
        <f t="shared" si="3"/>
        <v>1</v>
      </c>
      <c r="C85" s="1">
        <f t="shared" si="4"/>
        <v>0</v>
      </c>
      <c r="D85" s="1">
        <v>2</v>
      </c>
      <c r="E85" s="1">
        <v>64</v>
      </c>
      <c r="F85" s="1">
        <f t="shared" si="5"/>
        <v>20264</v>
      </c>
      <c r="G85" s="1">
        <v>144</v>
      </c>
      <c r="H85" s="1">
        <v>2816</v>
      </c>
      <c r="I85" s="1">
        <v>0</v>
      </c>
    </row>
    <row r="86" spans="1:9" x14ac:dyDescent="0.35">
      <c r="A86" s="1" t="s">
        <v>18</v>
      </c>
      <c r="B86" s="1">
        <f t="shared" si="3"/>
        <v>1</v>
      </c>
      <c r="C86" s="1">
        <f t="shared" si="4"/>
        <v>0</v>
      </c>
      <c r="D86" s="1">
        <v>3</v>
      </c>
      <c r="E86" s="1">
        <v>1</v>
      </c>
      <c r="F86" s="1">
        <f t="shared" si="5"/>
        <v>20301</v>
      </c>
      <c r="G86" s="1">
        <v>216</v>
      </c>
      <c r="H86" s="1">
        <v>192</v>
      </c>
      <c r="I86" s="1">
        <v>0</v>
      </c>
    </row>
    <row r="87" spans="1:9" x14ac:dyDescent="0.35">
      <c r="A87" s="1" t="s">
        <v>18</v>
      </c>
      <c r="B87" s="1">
        <f t="shared" si="3"/>
        <v>1</v>
      </c>
      <c r="C87" s="1">
        <f t="shared" si="4"/>
        <v>0</v>
      </c>
      <c r="D87" s="1">
        <v>3</v>
      </c>
      <c r="E87" s="1">
        <v>2</v>
      </c>
      <c r="F87" s="1">
        <f t="shared" si="5"/>
        <v>20302</v>
      </c>
      <c r="G87" s="1">
        <v>216</v>
      </c>
      <c r="H87" s="1">
        <v>288</v>
      </c>
      <c r="I87" s="1">
        <v>0</v>
      </c>
    </row>
    <row r="88" spans="1:9" x14ac:dyDescent="0.35">
      <c r="A88" s="1" t="s">
        <v>18</v>
      </c>
      <c r="B88" s="1">
        <f t="shared" si="3"/>
        <v>1</v>
      </c>
      <c r="C88" s="1">
        <f t="shared" si="4"/>
        <v>0</v>
      </c>
      <c r="D88" s="1">
        <v>3</v>
      </c>
      <c r="E88" s="1">
        <v>4</v>
      </c>
      <c r="F88" s="1">
        <f t="shared" si="5"/>
        <v>20304</v>
      </c>
      <c r="G88" s="1">
        <v>216</v>
      </c>
      <c r="H88" s="1">
        <v>336</v>
      </c>
      <c r="I88" s="1">
        <v>0</v>
      </c>
    </row>
    <row r="89" spans="1:9" x14ac:dyDescent="0.35">
      <c r="A89" s="1" t="s">
        <v>18</v>
      </c>
      <c r="B89" s="1">
        <f t="shared" si="3"/>
        <v>1</v>
      </c>
      <c r="C89" s="1">
        <f t="shared" si="4"/>
        <v>0</v>
      </c>
      <c r="D89" s="1">
        <v>3</v>
      </c>
      <c r="E89" s="1">
        <v>8</v>
      </c>
      <c r="F89" s="1">
        <f t="shared" si="5"/>
        <v>20308</v>
      </c>
      <c r="G89" s="1">
        <v>216</v>
      </c>
      <c r="H89" s="1">
        <v>528</v>
      </c>
      <c r="I89" s="1">
        <v>0</v>
      </c>
    </row>
    <row r="90" spans="1:9" x14ac:dyDescent="0.35">
      <c r="A90" s="1" t="s">
        <v>18</v>
      </c>
      <c r="B90" s="1">
        <f t="shared" si="3"/>
        <v>1</v>
      </c>
      <c r="C90" s="1">
        <f t="shared" si="4"/>
        <v>0</v>
      </c>
      <c r="D90" s="1">
        <v>3</v>
      </c>
      <c r="E90" s="1">
        <v>16</v>
      </c>
      <c r="F90" s="1">
        <f t="shared" si="5"/>
        <v>20316</v>
      </c>
      <c r="G90" s="1">
        <v>216</v>
      </c>
      <c r="H90" s="1">
        <v>1056</v>
      </c>
      <c r="I90" s="1">
        <v>0</v>
      </c>
    </row>
    <row r="91" spans="1:9" x14ac:dyDescent="0.35">
      <c r="A91" s="1" t="s">
        <v>18</v>
      </c>
      <c r="B91" s="1">
        <f t="shared" si="3"/>
        <v>1</v>
      </c>
      <c r="C91" s="1">
        <f t="shared" si="4"/>
        <v>0</v>
      </c>
      <c r="D91" s="1">
        <v>3</v>
      </c>
      <c r="E91" s="1">
        <v>32</v>
      </c>
      <c r="F91" s="1">
        <f t="shared" si="5"/>
        <v>20332</v>
      </c>
      <c r="G91" s="1">
        <v>216</v>
      </c>
      <c r="H91" s="1">
        <v>2112</v>
      </c>
      <c r="I91" s="1">
        <v>0</v>
      </c>
    </row>
    <row r="92" spans="1:9" x14ac:dyDescent="0.35">
      <c r="A92" s="1" t="s">
        <v>18</v>
      </c>
      <c r="B92" s="1">
        <f t="shared" si="3"/>
        <v>1</v>
      </c>
      <c r="C92" s="1">
        <f t="shared" si="4"/>
        <v>0</v>
      </c>
      <c r="D92" s="1">
        <v>3</v>
      </c>
      <c r="E92" s="1">
        <v>64</v>
      </c>
      <c r="F92" s="1">
        <f t="shared" si="5"/>
        <v>20364</v>
      </c>
      <c r="G92" s="1">
        <v>216</v>
      </c>
      <c r="H92" s="1">
        <v>4224</v>
      </c>
      <c r="I92" s="1">
        <v>0</v>
      </c>
    </row>
    <row r="93" spans="1:9" x14ac:dyDescent="0.35">
      <c r="A93" s="1" t="s">
        <v>18</v>
      </c>
      <c r="B93" s="1">
        <f t="shared" si="3"/>
        <v>1</v>
      </c>
      <c r="C93" s="1">
        <f t="shared" si="4"/>
        <v>0</v>
      </c>
      <c r="D93" s="1">
        <v>4</v>
      </c>
      <c r="E93" s="1">
        <v>1</v>
      </c>
      <c r="F93" s="1">
        <f t="shared" si="5"/>
        <v>20401</v>
      </c>
      <c r="G93" s="1">
        <v>288</v>
      </c>
      <c r="H93" s="1">
        <v>256</v>
      </c>
      <c r="I93" s="1">
        <v>0</v>
      </c>
    </row>
    <row r="94" spans="1:9" x14ac:dyDescent="0.35">
      <c r="A94" s="1" t="s">
        <v>18</v>
      </c>
      <c r="B94" s="1">
        <f t="shared" si="3"/>
        <v>1</v>
      </c>
      <c r="C94" s="1">
        <f t="shared" si="4"/>
        <v>0</v>
      </c>
      <c r="D94" s="1">
        <v>4</v>
      </c>
      <c r="E94" s="1">
        <v>2</v>
      </c>
      <c r="F94" s="1">
        <f t="shared" si="5"/>
        <v>20402</v>
      </c>
      <c r="G94" s="1">
        <v>288</v>
      </c>
      <c r="H94" s="1">
        <v>288</v>
      </c>
      <c r="I94" s="1">
        <v>0</v>
      </c>
    </row>
    <row r="95" spans="1:9" x14ac:dyDescent="0.35">
      <c r="A95" s="1" t="s">
        <v>18</v>
      </c>
      <c r="B95" s="1">
        <f t="shared" si="3"/>
        <v>1</v>
      </c>
      <c r="C95" s="1">
        <f t="shared" si="4"/>
        <v>0</v>
      </c>
      <c r="D95" s="1">
        <v>4</v>
      </c>
      <c r="E95" s="1">
        <v>4</v>
      </c>
      <c r="F95" s="1">
        <f t="shared" si="5"/>
        <v>20404</v>
      </c>
      <c r="G95" s="1">
        <v>288</v>
      </c>
      <c r="H95" s="1">
        <v>352</v>
      </c>
      <c r="I95" s="1">
        <v>0</v>
      </c>
    </row>
    <row r="96" spans="1:9" x14ac:dyDescent="0.35">
      <c r="A96" s="1" t="s">
        <v>18</v>
      </c>
      <c r="B96" s="1">
        <f t="shared" si="3"/>
        <v>1</v>
      </c>
      <c r="C96" s="1">
        <f t="shared" si="4"/>
        <v>0</v>
      </c>
      <c r="D96" s="1">
        <v>4</v>
      </c>
      <c r="E96" s="1">
        <v>8</v>
      </c>
      <c r="F96" s="1">
        <f t="shared" si="5"/>
        <v>20408</v>
      </c>
      <c r="G96" s="1">
        <v>288</v>
      </c>
      <c r="H96" s="1">
        <v>704</v>
      </c>
      <c r="I96" s="1">
        <v>0</v>
      </c>
    </row>
    <row r="97" spans="1:9" x14ac:dyDescent="0.35">
      <c r="A97" s="1" t="s">
        <v>18</v>
      </c>
      <c r="B97" s="1">
        <f t="shared" si="3"/>
        <v>1</v>
      </c>
      <c r="C97" s="1">
        <f t="shared" si="4"/>
        <v>0</v>
      </c>
      <c r="D97" s="1">
        <v>4</v>
      </c>
      <c r="E97" s="1">
        <v>16</v>
      </c>
      <c r="F97" s="1">
        <f t="shared" si="5"/>
        <v>20416</v>
      </c>
      <c r="G97" s="1">
        <v>288</v>
      </c>
      <c r="H97" s="1">
        <v>1408</v>
      </c>
      <c r="I97" s="1">
        <v>0</v>
      </c>
    </row>
    <row r="98" spans="1:9" x14ac:dyDescent="0.35">
      <c r="A98" s="1" t="s">
        <v>18</v>
      </c>
      <c r="B98" s="1">
        <f t="shared" si="3"/>
        <v>1</v>
      </c>
      <c r="C98" s="1">
        <f t="shared" si="4"/>
        <v>0</v>
      </c>
      <c r="D98" s="1">
        <v>4</v>
      </c>
      <c r="E98" s="1">
        <v>32</v>
      </c>
      <c r="F98" s="1">
        <f t="shared" si="5"/>
        <v>20432</v>
      </c>
      <c r="G98" s="1">
        <v>288</v>
      </c>
      <c r="H98" s="1">
        <v>2816</v>
      </c>
      <c r="I98" s="1">
        <v>0</v>
      </c>
    </row>
    <row r="99" spans="1:9" x14ac:dyDescent="0.35">
      <c r="A99" s="1" t="s">
        <v>18</v>
      </c>
      <c r="B99" s="1">
        <f t="shared" si="3"/>
        <v>1</v>
      </c>
      <c r="C99" s="1">
        <f t="shared" si="4"/>
        <v>0</v>
      </c>
      <c r="D99" s="1">
        <v>4</v>
      </c>
      <c r="E99" s="1">
        <v>64</v>
      </c>
      <c r="F99" s="1">
        <f t="shared" si="5"/>
        <v>20464</v>
      </c>
      <c r="G99" s="1">
        <v>288</v>
      </c>
      <c r="H99" s="1">
        <v>5632</v>
      </c>
      <c r="I99" s="1">
        <v>0</v>
      </c>
    </row>
    <row r="100" spans="1:9" x14ac:dyDescent="0.35">
      <c r="A100" s="1" t="s">
        <v>18</v>
      </c>
      <c r="B100" s="1">
        <f t="shared" si="3"/>
        <v>1</v>
      </c>
      <c r="C100" s="1">
        <f t="shared" si="4"/>
        <v>0</v>
      </c>
      <c r="D100" s="1">
        <v>6</v>
      </c>
      <c r="E100" s="1">
        <v>1</v>
      </c>
      <c r="F100" s="1">
        <f t="shared" si="5"/>
        <v>20601</v>
      </c>
      <c r="G100" s="1">
        <v>432</v>
      </c>
      <c r="H100" s="1">
        <v>384</v>
      </c>
      <c r="I100" s="1">
        <v>0</v>
      </c>
    </row>
    <row r="101" spans="1:9" x14ac:dyDescent="0.35">
      <c r="A101" s="1" t="s">
        <v>18</v>
      </c>
      <c r="B101" s="1">
        <f t="shared" si="3"/>
        <v>1</v>
      </c>
      <c r="C101" s="1">
        <f t="shared" si="4"/>
        <v>0</v>
      </c>
      <c r="D101" s="1">
        <v>6</v>
      </c>
      <c r="E101" s="1">
        <v>2</v>
      </c>
      <c r="F101" s="1">
        <f t="shared" si="5"/>
        <v>20602</v>
      </c>
      <c r="G101" s="1">
        <v>432</v>
      </c>
      <c r="H101" s="1">
        <v>432</v>
      </c>
      <c r="I101" s="1">
        <v>0</v>
      </c>
    </row>
    <row r="102" spans="1:9" x14ac:dyDescent="0.35">
      <c r="A102" s="1" t="s">
        <v>18</v>
      </c>
      <c r="B102" s="1">
        <f t="shared" si="3"/>
        <v>1</v>
      </c>
      <c r="C102" s="1">
        <f t="shared" si="4"/>
        <v>0</v>
      </c>
      <c r="D102" s="1">
        <v>6</v>
      </c>
      <c r="E102" s="1">
        <v>4</v>
      </c>
      <c r="F102" s="1">
        <f t="shared" si="5"/>
        <v>20604</v>
      </c>
      <c r="G102" s="1">
        <v>432</v>
      </c>
      <c r="H102" s="1">
        <v>528</v>
      </c>
      <c r="I102" s="1">
        <v>0</v>
      </c>
    </row>
    <row r="103" spans="1:9" x14ac:dyDescent="0.35">
      <c r="A103" s="1" t="s">
        <v>18</v>
      </c>
      <c r="B103" s="1">
        <f t="shared" si="3"/>
        <v>1</v>
      </c>
      <c r="C103" s="1">
        <f t="shared" si="4"/>
        <v>0</v>
      </c>
      <c r="D103" s="1">
        <v>6</v>
      </c>
      <c r="E103" s="1">
        <v>8</v>
      </c>
      <c r="F103" s="1">
        <f t="shared" si="5"/>
        <v>20608</v>
      </c>
      <c r="G103" s="1">
        <v>432</v>
      </c>
      <c r="H103" s="1">
        <v>1056</v>
      </c>
      <c r="I103" s="1">
        <v>0</v>
      </c>
    </row>
    <row r="104" spans="1:9" x14ac:dyDescent="0.35">
      <c r="A104" s="1" t="s">
        <v>18</v>
      </c>
      <c r="B104" s="1">
        <f t="shared" si="3"/>
        <v>1</v>
      </c>
      <c r="C104" s="1">
        <f t="shared" si="4"/>
        <v>0</v>
      </c>
      <c r="D104" s="1">
        <v>6</v>
      </c>
      <c r="E104" s="1">
        <v>16</v>
      </c>
      <c r="F104" s="1">
        <f t="shared" si="5"/>
        <v>20616</v>
      </c>
      <c r="G104" s="1">
        <v>432</v>
      </c>
      <c r="H104" s="1">
        <v>2112</v>
      </c>
      <c r="I104" s="1">
        <v>0</v>
      </c>
    </row>
    <row r="105" spans="1:9" x14ac:dyDescent="0.35">
      <c r="A105" s="1" t="s">
        <v>18</v>
      </c>
      <c r="B105" s="1">
        <f t="shared" si="3"/>
        <v>1</v>
      </c>
      <c r="C105" s="1">
        <f t="shared" si="4"/>
        <v>0</v>
      </c>
      <c r="D105" s="1">
        <v>6</v>
      </c>
      <c r="E105" s="1">
        <v>32</v>
      </c>
      <c r="F105" s="1">
        <f t="shared" si="5"/>
        <v>20632</v>
      </c>
      <c r="G105" s="1">
        <v>432</v>
      </c>
      <c r="H105" s="1">
        <v>4224</v>
      </c>
      <c r="I105" s="1">
        <v>0</v>
      </c>
    </row>
    <row r="106" spans="1:9" x14ac:dyDescent="0.35">
      <c r="A106" s="1" t="s">
        <v>18</v>
      </c>
      <c r="B106" s="1">
        <f t="shared" si="3"/>
        <v>1</v>
      </c>
      <c r="C106" s="1">
        <f t="shared" si="4"/>
        <v>0</v>
      </c>
      <c r="D106" s="1">
        <v>6</v>
      </c>
      <c r="E106" s="1">
        <v>64</v>
      </c>
      <c r="F106" s="1">
        <f t="shared" si="5"/>
        <v>20664</v>
      </c>
      <c r="G106" s="1">
        <v>432</v>
      </c>
      <c r="H106" s="1">
        <v>8448</v>
      </c>
      <c r="I106" s="1">
        <v>0</v>
      </c>
    </row>
    <row r="107" spans="1:9" x14ac:dyDescent="0.35">
      <c r="A107" s="1" t="s">
        <v>18</v>
      </c>
      <c r="B107" s="1">
        <f t="shared" si="3"/>
        <v>1</v>
      </c>
      <c r="C107" s="1">
        <f t="shared" si="4"/>
        <v>0</v>
      </c>
      <c r="D107" s="1">
        <v>12</v>
      </c>
      <c r="E107" s="1">
        <v>1</v>
      </c>
      <c r="F107" s="1">
        <f t="shared" si="5"/>
        <v>21201</v>
      </c>
      <c r="G107" s="1">
        <v>528</v>
      </c>
      <c r="H107" s="1">
        <v>432</v>
      </c>
      <c r="I107" s="1">
        <v>0</v>
      </c>
    </row>
    <row r="108" spans="1:9" x14ac:dyDescent="0.35">
      <c r="A108" s="1" t="s">
        <v>18</v>
      </c>
      <c r="B108" s="1">
        <f t="shared" si="3"/>
        <v>1</v>
      </c>
      <c r="C108" s="1">
        <f t="shared" si="4"/>
        <v>0</v>
      </c>
      <c r="D108" s="1">
        <v>12</v>
      </c>
      <c r="E108" s="1">
        <v>2</v>
      </c>
      <c r="F108" s="1">
        <f t="shared" si="5"/>
        <v>21202</v>
      </c>
      <c r="G108" s="1">
        <v>528</v>
      </c>
      <c r="H108" s="1">
        <v>528</v>
      </c>
      <c r="I108" s="1">
        <v>0</v>
      </c>
    </row>
    <row r="109" spans="1:9" x14ac:dyDescent="0.35">
      <c r="A109" s="1" t="s">
        <v>18</v>
      </c>
      <c r="B109" s="1">
        <f t="shared" si="3"/>
        <v>1</v>
      </c>
      <c r="C109" s="1">
        <f t="shared" si="4"/>
        <v>0</v>
      </c>
      <c r="D109" s="1">
        <v>12</v>
      </c>
      <c r="E109" s="1">
        <v>4</v>
      </c>
      <c r="F109" s="1">
        <f t="shared" si="5"/>
        <v>21204</v>
      </c>
      <c r="G109" s="1">
        <v>528</v>
      </c>
      <c r="H109" s="1">
        <v>1056</v>
      </c>
      <c r="I109" s="1">
        <v>0</v>
      </c>
    </row>
    <row r="110" spans="1:9" x14ac:dyDescent="0.35">
      <c r="A110" s="1" t="s">
        <v>18</v>
      </c>
      <c r="B110" s="1">
        <f t="shared" si="3"/>
        <v>1</v>
      </c>
      <c r="C110" s="1">
        <f t="shared" si="4"/>
        <v>0</v>
      </c>
      <c r="D110" s="1">
        <v>12</v>
      </c>
      <c r="E110" s="1">
        <v>8</v>
      </c>
      <c r="F110" s="1">
        <f t="shared" si="5"/>
        <v>21208</v>
      </c>
      <c r="G110" s="1">
        <v>528</v>
      </c>
      <c r="H110" s="1">
        <v>2112</v>
      </c>
      <c r="I110" s="1">
        <v>0</v>
      </c>
    </row>
    <row r="111" spans="1:9" x14ac:dyDescent="0.35">
      <c r="A111" s="1" t="s">
        <v>18</v>
      </c>
      <c r="B111" s="1">
        <f t="shared" si="3"/>
        <v>1</v>
      </c>
      <c r="C111" s="1">
        <f t="shared" si="4"/>
        <v>0</v>
      </c>
      <c r="D111" s="1">
        <v>12</v>
      </c>
      <c r="E111" s="1">
        <v>16</v>
      </c>
      <c r="F111" s="1">
        <f t="shared" si="5"/>
        <v>21216</v>
      </c>
      <c r="G111" s="1">
        <v>528</v>
      </c>
      <c r="H111" s="1">
        <v>4224</v>
      </c>
      <c r="I111" s="1">
        <v>0</v>
      </c>
    </row>
    <row r="112" spans="1:9" x14ac:dyDescent="0.35">
      <c r="A112" s="1" t="s">
        <v>18</v>
      </c>
      <c r="B112" s="1">
        <f t="shared" si="3"/>
        <v>1</v>
      </c>
      <c r="C112" s="1">
        <f t="shared" si="4"/>
        <v>0</v>
      </c>
      <c r="D112" s="1">
        <v>12</v>
      </c>
      <c r="E112" s="1">
        <v>32</v>
      </c>
      <c r="F112" s="1">
        <f t="shared" si="5"/>
        <v>21232</v>
      </c>
      <c r="G112" s="1">
        <v>528</v>
      </c>
      <c r="H112" s="1">
        <v>8448</v>
      </c>
      <c r="I112" s="1">
        <v>0</v>
      </c>
    </row>
    <row r="113" spans="1:9" x14ac:dyDescent="0.35">
      <c r="A113" s="1" t="s">
        <v>18</v>
      </c>
      <c r="B113" s="1">
        <f t="shared" si="3"/>
        <v>1</v>
      </c>
      <c r="C113" s="1">
        <f t="shared" si="4"/>
        <v>0</v>
      </c>
      <c r="D113" s="1">
        <v>12</v>
      </c>
      <c r="E113" s="1">
        <v>64</v>
      </c>
      <c r="F113" s="1">
        <f t="shared" si="5"/>
        <v>21264</v>
      </c>
      <c r="G113" s="1">
        <v>528</v>
      </c>
      <c r="H113" s="1">
        <v>16896</v>
      </c>
      <c r="I113" s="1">
        <v>0</v>
      </c>
    </row>
    <row r="114" spans="1:9" x14ac:dyDescent="0.35">
      <c r="A114" s="1" t="s">
        <v>152</v>
      </c>
      <c r="B114" s="1">
        <f t="shared" si="3"/>
        <v>1</v>
      </c>
      <c r="C114" s="1">
        <f t="shared" si="4"/>
        <v>1</v>
      </c>
      <c r="D114" s="1">
        <v>4</v>
      </c>
      <c r="E114" s="1">
        <v>1</v>
      </c>
      <c r="F114" s="1">
        <f t="shared" si="5"/>
        <v>30401</v>
      </c>
      <c r="G114" s="1">
        <v>176</v>
      </c>
      <c r="H114" s="1">
        <v>144</v>
      </c>
      <c r="I114" s="1">
        <v>0</v>
      </c>
    </row>
    <row r="115" spans="1:9" x14ac:dyDescent="0.35">
      <c r="A115" s="1" t="s">
        <v>152</v>
      </c>
      <c r="B115" s="1">
        <f t="shared" si="3"/>
        <v>1</v>
      </c>
      <c r="C115" s="1">
        <f t="shared" si="4"/>
        <v>1</v>
      </c>
      <c r="D115" s="1">
        <v>4</v>
      </c>
      <c r="E115" s="1">
        <v>2</v>
      </c>
      <c r="F115" s="1">
        <f t="shared" si="5"/>
        <v>30402</v>
      </c>
      <c r="G115" s="1">
        <v>176</v>
      </c>
      <c r="H115" s="1">
        <v>176</v>
      </c>
      <c r="I115" s="1">
        <v>0</v>
      </c>
    </row>
    <row r="116" spans="1:9" x14ac:dyDescent="0.35">
      <c r="A116" s="1" t="s">
        <v>152</v>
      </c>
      <c r="B116" s="1">
        <f t="shared" si="3"/>
        <v>1</v>
      </c>
      <c r="C116" s="1">
        <f t="shared" si="4"/>
        <v>1</v>
      </c>
      <c r="D116" s="1">
        <v>4</v>
      </c>
      <c r="E116" s="1">
        <v>4</v>
      </c>
      <c r="F116" s="1">
        <f t="shared" si="5"/>
        <v>30404</v>
      </c>
      <c r="G116" s="1">
        <v>176</v>
      </c>
      <c r="H116" s="1">
        <v>352</v>
      </c>
      <c r="I116" s="1">
        <v>0</v>
      </c>
    </row>
    <row r="117" spans="1:9" x14ac:dyDescent="0.35">
      <c r="A117" s="1" t="s">
        <v>152</v>
      </c>
      <c r="B117" s="1">
        <f t="shared" si="3"/>
        <v>1</v>
      </c>
      <c r="C117" s="1">
        <f t="shared" si="4"/>
        <v>1</v>
      </c>
      <c r="D117" s="1">
        <v>4</v>
      </c>
      <c r="E117" s="1">
        <v>8</v>
      </c>
      <c r="F117" s="1">
        <f t="shared" si="5"/>
        <v>30408</v>
      </c>
      <c r="G117" s="1">
        <v>176</v>
      </c>
      <c r="H117" s="1">
        <v>704</v>
      </c>
      <c r="I117" s="1">
        <v>0</v>
      </c>
    </row>
    <row r="118" spans="1:9" x14ac:dyDescent="0.35">
      <c r="A118" s="1" t="s">
        <v>152</v>
      </c>
      <c r="B118" s="1">
        <f t="shared" si="3"/>
        <v>1</v>
      </c>
      <c r="C118" s="1">
        <f t="shared" si="4"/>
        <v>1</v>
      </c>
      <c r="D118" s="1">
        <v>4</v>
      </c>
      <c r="E118" s="1">
        <v>16</v>
      </c>
      <c r="F118" s="1">
        <f t="shared" si="5"/>
        <v>30416</v>
      </c>
      <c r="G118" s="1">
        <v>176</v>
      </c>
      <c r="H118" s="1">
        <v>1408</v>
      </c>
      <c r="I118" s="1">
        <v>0</v>
      </c>
    </row>
    <row r="119" spans="1:9" x14ac:dyDescent="0.35">
      <c r="A119" s="1" t="s">
        <v>152</v>
      </c>
      <c r="B119" s="1">
        <f t="shared" si="3"/>
        <v>1</v>
      </c>
      <c r="C119" s="1">
        <f t="shared" si="4"/>
        <v>1</v>
      </c>
      <c r="D119" s="1">
        <v>4</v>
      </c>
      <c r="E119" s="1">
        <v>32</v>
      </c>
      <c r="F119" s="1">
        <f t="shared" si="5"/>
        <v>30432</v>
      </c>
      <c r="G119" s="1">
        <v>176</v>
      </c>
      <c r="H119" s="1">
        <v>2816</v>
      </c>
      <c r="I119" s="1">
        <v>0</v>
      </c>
    </row>
    <row r="120" spans="1:9" x14ac:dyDescent="0.35">
      <c r="A120" s="1" t="s">
        <v>152</v>
      </c>
      <c r="B120" s="1">
        <f t="shared" si="3"/>
        <v>1</v>
      </c>
      <c r="C120" s="1">
        <f t="shared" si="4"/>
        <v>1</v>
      </c>
      <c r="D120" s="1">
        <v>4</v>
      </c>
      <c r="E120" s="1">
        <v>64</v>
      </c>
      <c r="F120" s="1">
        <f t="shared" si="5"/>
        <v>30464</v>
      </c>
      <c r="G120" s="1">
        <v>176</v>
      </c>
      <c r="H120" s="1">
        <v>5632</v>
      </c>
      <c r="I120" s="1">
        <v>0</v>
      </c>
    </row>
    <row r="121" spans="1:9" x14ac:dyDescent="0.35">
      <c r="A121" s="1" t="s">
        <v>152</v>
      </c>
      <c r="B121" s="1">
        <f t="shared" si="3"/>
        <v>1</v>
      </c>
      <c r="C121" s="1">
        <f t="shared" si="4"/>
        <v>1</v>
      </c>
      <c r="D121" s="1">
        <v>6</v>
      </c>
      <c r="E121" s="1">
        <v>1</v>
      </c>
      <c r="F121" s="1">
        <f t="shared" si="5"/>
        <v>30601</v>
      </c>
      <c r="G121" s="1">
        <v>264</v>
      </c>
      <c r="H121" s="1">
        <v>216</v>
      </c>
      <c r="I121" s="1">
        <v>0</v>
      </c>
    </row>
    <row r="122" spans="1:9" x14ac:dyDescent="0.35">
      <c r="A122" s="1" t="s">
        <v>152</v>
      </c>
      <c r="B122" s="1">
        <f t="shared" si="3"/>
        <v>1</v>
      </c>
      <c r="C122" s="1">
        <f t="shared" si="4"/>
        <v>1</v>
      </c>
      <c r="D122" s="1">
        <v>6</v>
      </c>
      <c r="E122" s="1">
        <v>2</v>
      </c>
      <c r="F122" s="1">
        <f t="shared" si="5"/>
        <v>30602</v>
      </c>
      <c r="G122" s="1">
        <v>264</v>
      </c>
      <c r="H122" s="1">
        <v>264</v>
      </c>
      <c r="I122" s="1">
        <v>0</v>
      </c>
    </row>
    <row r="123" spans="1:9" x14ac:dyDescent="0.35">
      <c r="A123" s="1" t="s">
        <v>152</v>
      </c>
      <c r="B123" s="1">
        <f t="shared" si="3"/>
        <v>1</v>
      </c>
      <c r="C123" s="1">
        <f t="shared" si="4"/>
        <v>1</v>
      </c>
      <c r="D123" s="1">
        <v>6</v>
      </c>
      <c r="E123" s="1">
        <v>4</v>
      </c>
      <c r="F123" s="1">
        <f t="shared" si="5"/>
        <v>30604</v>
      </c>
      <c r="G123" s="1">
        <v>264</v>
      </c>
      <c r="H123" s="1">
        <v>528</v>
      </c>
      <c r="I123" s="1">
        <v>0</v>
      </c>
    </row>
    <row r="124" spans="1:9" x14ac:dyDescent="0.35">
      <c r="A124" s="1" t="s">
        <v>152</v>
      </c>
      <c r="B124" s="1">
        <f t="shared" si="3"/>
        <v>1</v>
      </c>
      <c r="C124" s="1">
        <f t="shared" si="4"/>
        <v>1</v>
      </c>
      <c r="D124" s="1">
        <v>6</v>
      </c>
      <c r="E124" s="1">
        <v>8</v>
      </c>
      <c r="F124" s="1">
        <f t="shared" si="5"/>
        <v>30608</v>
      </c>
      <c r="G124" s="1">
        <v>264</v>
      </c>
      <c r="H124" s="1">
        <v>1056</v>
      </c>
      <c r="I124" s="1">
        <v>0</v>
      </c>
    </row>
    <row r="125" spans="1:9" x14ac:dyDescent="0.35">
      <c r="A125" s="1" t="s">
        <v>152</v>
      </c>
      <c r="B125" s="1">
        <f t="shared" si="3"/>
        <v>1</v>
      </c>
      <c r="C125" s="1">
        <f t="shared" si="4"/>
        <v>1</v>
      </c>
      <c r="D125" s="1">
        <v>6</v>
      </c>
      <c r="E125" s="1">
        <v>16</v>
      </c>
      <c r="F125" s="1">
        <f t="shared" si="5"/>
        <v>30616</v>
      </c>
      <c r="G125" s="1">
        <v>264</v>
      </c>
      <c r="H125" s="1">
        <v>2112</v>
      </c>
      <c r="I125" s="1">
        <v>0</v>
      </c>
    </row>
    <row r="126" spans="1:9" x14ac:dyDescent="0.35">
      <c r="A126" s="1" t="s">
        <v>152</v>
      </c>
      <c r="B126" s="1">
        <f t="shared" si="3"/>
        <v>1</v>
      </c>
      <c r="C126" s="1">
        <f t="shared" si="4"/>
        <v>1</v>
      </c>
      <c r="D126" s="1">
        <v>6</v>
      </c>
      <c r="E126" s="1">
        <v>32</v>
      </c>
      <c r="F126" s="1">
        <f t="shared" si="5"/>
        <v>30632</v>
      </c>
      <c r="G126" s="1">
        <v>264</v>
      </c>
      <c r="H126" s="1">
        <v>4224</v>
      </c>
      <c r="I126" s="1">
        <v>0</v>
      </c>
    </row>
    <row r="127" spans="1:9" x14ac:dyDescent="0.35">
      <c r="A127" s="1" t="s">
        <v>152</v>
      </c>
      <c r="B127" s="1">
        <f t="shared" si="3"/>
        <v>1</v>
      </c>
      <c r="C127" s="1">
        <f t="shared" si="4"/>
        <v>1</v>
      </c>
      <c r="D127" s="1">
        <v>6</v>
      </c>
      <c r="E127" s="1">
        <v>64</v>
      </c>
      <c r="F127" s="1">
        <f t="shared" si="5"/>
        <v>30664</v>
      </c>
      <c r="G127" s="1">
        <v>264</v>
      </c>
      <c r="H127" s="1">
        <v>8448</v>
      </c>
      <c r="I127" s="1">
        <v>0</v>
      </c>
    </row>
    <row r="128" spans="1:9" x14ac:dyDescent="0.35">
      <c r="A128" s="1" t="s">
        <v>152</v>
      </c>
      <c r="B128" s="1">
        <f t="shared" si="3"/>
        <v>1</v>
      </c>
      <c r="C128" s="1">
        <f t="shared" si="4"/>
        <v>1</v>
      </c>
      <c r="D128" s="1">
        <v>12</v>
      </c>
      <c r="E128" s="1">
        <v>1</v>
      </c>
      <c r="F128" s="1">
        <f t="shared" si="5"/>
        <v>31201</v>
      </c>
      <c r="G128" s="1">
        <v>360</v>
      </c>
      <c r="H128" s="1">
        <v>264</v>
      </c>
      <c r="I128" s="1">
        <v>0</v>
      </c>
    </row>
    <row r="129" spans="1:9" x14ac:dyDescent="0.35">
      <c r="A129" s="1" t="s">
        <v>152</v>
      </c>
      <c r="B129" s="1">
        <f t="shared" si="3"/>
        <v>1</v>
      </c>
      <c r="C129" s="1">
        <f t="shared" si="4"/>
        <v>1</v>
      </c>
      <c r="D129" s="1">
        <v>12</v>
      </c>
      <c r="E129" s="1">
        <v>2</v>
      </c>
      <c r="F129" s="1">
        <f t="shared" si="5"/>
        <v>31202</v>
      </c>
      <c r="G129" s="1">
        <v>360</v>
      </c>
      <c r="H129" s="1">
        <v>528</v>
      </c>
      <c r="I129" s="1">
        <v>0</v>
      </c>
    </row>
    <row r="130" spans="1:9" x14ac:dyDescent="0.35">
      <c r="A130" s="1" t="s">
        <v>152</v>
      </c>
      <c r="B130" s="1">
        <f t="shared" si="3"/>
        <v>1</v>
      </c>
      <c r="C130" s="1">
        <f t="shared" si="4"/>
        <v>1</v>
      </c>
      <c r="D130" s="1">
        <v>12</v>
      </c>
      <c r="E130" s="1">
        <v>4</v>
      </c>
      <c r="F130" s="1">
        <f t="shared" si="5"/>
        <v>31204</v>
      </c>
      <c r="G130" s="1">
        <v>360</v>
      </c>
      <c r="H130" s="1">
        <v>1056</v>
      </c>
      <c r="I130" s="1">
        <v>0</v>
      </c>
    </row>
    <row r="131" spans="1:9" x14ac:dyDescent="0.35">
      <c r="A131" s="1" t="s">
        <v>152</v>
      </c>
      <c r="B131" s="1">
        <f t="shared" ref="B131:B134" si="6">IF(OR(A131="4T4R",A131="4T4R_LS"),0,1)</f>
        <v>1</v>
      </c>
      <c r="C131" s="1">
        <f t="shared" ref="C131:C134" si="7">IF(OR(A131="8T8R_LS",A131="4T4R_LS"),1,0)</f>
        <v>1</v>
      </c>
      <c r="D131" s="1">
        <v>12</v>
      </c>
      <c r="E131" s="1">
        <v>8</v>
      </c>
      <c r="F131" s="1">
        <f t="shared" ref="F131:F134" si="8">10000*(2*B131+C131)+100*D131+E131</f>
        <v>31208</v>
      </c>
      <c r="G131" s="1">
        <v>360</v>
      </c>
      <c r="H131" s="1">
        <v>2112</v>
      </c>
      <c r="I131" s="1">
        <v>0</v>
      </c>
    </row>
    <row r="132" spans="1:9" x14ac:dyDescent="0.35">
      <c r="A132" s="1" t="s">
        <v>152</v>
      </c>
      <c r="B132" s="1">
        <f t="shared" si="6"/>
        <v>1</v>
      </c>
      <c r="C132" s="1">
        <f t="shared" si="7"/>
        <v>1</v>
      </c>
      <c r="D132" s="1">
        <v>12</v>
      </c>
      <c r="E132" s="1">
        <v>16</v>
      </c>
      <c r="F132" s="1">
        <f t="shared" si="8"/>
        <v>31216</v>
      </c>
      <c r="G132" s="1">
        <v>360</v>
      </c>
      <c r="H132" s="1">
        <v>4224</v>
      </c>
      <c r="I132" s="1">
        <v>0</v>
      </c>
    </row>
    <row r="133" spans="1:9" x14ac:dyDescent="0.35">
      <c r="A133" s="1" t="s">
        <v>152</v>
      </c>
      <c r="B133" s="1">
        <f t="shared" si="6"/>
        <v>1</v>
      </c>
      <c r="C133" s="1">
        <f t="shared" si="7"/>
        <v>1</v>
      </c>
      <c r="D133" s="1">
        <v>12</v>
      </c>
      <c r="E133" s="1">
        <v>32</v>
      </c>
      <c r="F133" s="1">
        <f t="shared" si="8"/>
        <v>31232</v>
      </c>
      <c r="G133" s="1">
        <v>360</v>
      </c>
      <c r="H133" s="1">
        <v>8448</v>
      </c>
      <c r="I133" s="1">
        <v>0</v>
      </c>
    </row>
    <row r="134" spans="1:9" x14ac:dyDescent="0.35">
      <c r="A134" s="1" t="s">
        <v>152</v>
      </c>
      <c r="B134" s="1">
        <f t="shared" si="6"/>
        <v>1</v>
      </c>
      <c r="C134" s="1">
        <f t="shared" si="7"/>
        <v>1</v>
      </c>
      <c r="D134" s="1">
        <v>12</v>
      </c>
      <c r="E134" s="1">
        <v>64</v>
      </c>
      <c r="F134" s="1">
        <f t="shared" si="8"/>
        <v>31264</v>
      </c>
      <c r="G134" s="1">
        <v>360</v>
      </c>
      <c r="H134" s="1">
        <v>16896</v>
      </c>
      <c r="I13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C3832-9C88-44EF-A281-3A78AE8344F9}">
  <dimension ref="A1:N139"/>
  <sheetViews>
    <sheetView workbookViewId="0">
      <selection activeCell="M40" sqref="M40"/>
    </sheetView>
  </sheetViews>
  <sheetFormatPr defaultRowHeight="14.5" x14ac:dyDescent="0.35"/>
  <cols>
    <col min="2" max="3" width="8.7265625" hidden="1" customWidth="1"/>
    <col min="6" max="6" width="8.7265625" hidden="1" customWidth="1"/>
    <col min="7" max="7" width="18.453125" hidden="1" customWidth="1"/>
    <col min="8" max="8" width="23.7265625" hidden="1" customWidth="1"/>
    <col min="9" max="12" width="8.7265625" hidden="1" customWidth="1"/>
    <col min="13" max="13" width="15.26953125" customWidth="1"/>
    <col min="14" max="14" width="17.26953125" customWidth="1"/>
  </cols>
  <sheetData>
    <row r="1" spans="1:14" x14ac:dyDescent="0.35">
      <c r="A1" t="s">
        <v>141</v>
      </c>
      <c r="B1" t="s">
        <v>143</v>
      </c>
      <c r="C1" t="s">
        <v>23</v>
      </c>
      <c r="D1" t="s">
        <v>153</v>
      </c>
      <c r="E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81</v>
      </c>
      <c r="L1" t="s">
        <v>159</v>
      </c>
      <c r="M1" t="s">
        <v>160</v>
      </c>
      <c r="N1" t="s">
        <v>161</v>
      </c>
    </row>
    <row r="2" spans="1:14" x14ac:dyDescent="0.35">
      <c r="A2" t="s">
        <v>138</v>
      </c>
      <c r="B2">
        <f>IF(OR(A2="4T4R",A2="4T4R_LS"),0,1)</f>
        <v>0</v>
      </c>
      <c r="C2">
        <f>IF(OR(A2="8T8R_LS",A2="4T4R_LS"),1,0)</f>
        <v>0</v>
      </c>
      <c r="D2">
        <v>1</v>
      </c>
      <c r="E2">
        <v>1</v>
      </c>
      <c r="F2">
        <f t="shared" ref="F2:F33" si="0">10000*(2*B2+C2)+100*D2+E2</f>
        <v>101</v>
      </c>
      <c r="G2">
        <v>512</v>
      </c>
      <c r="H2">
        <v>432</v>
      </c>
      <c r="I2" s="1">
        <v>77</v>
      </c>
      <c r="J2" s="1">
        <v>75</v>
      </c>
      <c r="K2">
        <v>71</v>
      </c>
      <c r="L2" s="36">
        <v>8</v>
      </c>
      <c r="M2">
        <f>IF(G2&gt;0,1,0)</f>
        <v>1</v>
      </c>
      <c r="N2">
        <f>IF(I2&gt;0,1,0)</f>
        <v>1</v>
      </c>
    </row>
    <row r="3" spans="1:14" x14ac:dyDescent="0.35">
      <c r="A3" t="s">
        <v>138</v>
      </c>
      <c r="B3">
        <f t="shared" ref="B3:B67" si="1">IF(OR(A3="4T4R",A3="4T4R_LS"),0,1)</f>
        <v>0</v>
      </c>
      <c r="C3">
        <f t="shared" ref="C3:C67" si="2">IF(OR(A3="8T8R_LS",A3="4T4R_LS"),1,0)</f>
        <v>0</v>
      </c>
      <c r="D3">
        <v>1</v>
      </c>
      <c r="E3">
        <v>2</v>
      </c>
      <c r="F3">
        <f t="shared" si="0"/>
        <v>102</v>
      </c>
      <c r="G3">
        <v>602</v>
      </c>
      <c r="H3">
        <v>521</v>
      </c>
      <c r="I3" s="1"/>
      <c r="J3" s="1"/>
      <c r="K3">
        <v>78</v>
      </c>
      <c r="L3" s="36">
        <v>8</v>
      </c>
      <c r="M3">
        <f t="shared" ref="M3:M66" si="3">IF(G3&gt;0,1,0)</f>
        <v>1</v>
      </c>
      <c r="N3">
        <f t="shared" ref="N3:N66" si="4">IF(I3&gt;0,1,0)</f>
        <v>0</v>
      </c>
    </row>
    <row r="4" spans="1:14" x14ac:dyDescent="0.35">
      <c r="A4" t="s">
        <v>138</v>
      </c>
      <c r="B4">
        <f t="shared" si="1"/>
        <v>0</v>
      </c>
      <c r="C4">
        <f t="shared" si="2"/>
        <v>0</v>
      </c>
      <c r="D4">
        <v>1</v>
      </c>
      <c r="E4">
        <v>4</v>
      </c>
      <c r="F4">
        <f t="shared" si="0"/>
        <v>104</v>
      </c>
      <c r="G4">
        <v>703</v>
      </c>
      <c r="H4">
        <v>623</v>
      </c>
      <c r="I4" s="1"/>
      <c r="J4" s="1"/>
      <c r="K4">
        <v>92</v>
      </c>
      <c r="L4" s="36">
        <v>8</v>
      </c>
      <c r="M4">
        <f t="shared" si="3"/>
        <v>1</v>
      </c>
      <c r="N4">
        <f t="shared" si="4"/>
        <v>0</v>
      </c>
    </row>
    <row r="5" spans="1:14" x14ac:dyDescent="0.35">
      <c r="A5" t="s">
        <v>138</v>
      </c>
      <c r="B5">
        <f t="shared" si="1"/>
        <v>0</v>
      </c>
      <c r="C5">
        <f t="shared" si="2"/>
        <v>0</v>
      </c>
      <c r="D5">
        <v>1</v>
      </c>
      <c r="E5">
        <v>8</v>
      </c>
      <c r="F5">
        <f t="shared" si="0"/>
        <v>108</v>
      </c>
      <c r="G5">
        <v>835</v>
      </c>
      <c r="H5">
        <v>758</v>
      </c>
      <c r="I5" s="1"/>
      <c r="J5" s="1"/>
      <c r="K5">
        <v>120</v>
      </c>
      <c r="L5" s="36">
        <v>8</v>
      </c>
      <c r="M5">
        <f t="shared" si="3"/>
        <v>1</v>
      </c>
      <c r="N5">
        <f t="shared" si="4"/>
        <v>0</v>
      </c>
    </row>
    <row r="6" spans="1:14" x14ac:dyDescent="0.35">
      <c r="A6" t="s">
        <v>138</v>
      </c>
      <c r="B6">
        <f t="shared" si="1"/>
        <v>0</v>
      </c>
      <c r="C6">
        <f t="shared" si="2"/>
        <v>0</v>
      </c>
      <c r="D6">
        <v>1</v>
      </c>
      <c r="E6">
        <v>16</v>
      </c>
      <c r="F6">
        <f t="shared" si="0"/>
        <v>116</v>
      </c>
      <c r="G6">
        <v>1160</v>
      </c>
      <c r="H6">
        <v>1078</v>
      </c>
      <c r="I6" s="1"/>
      <c r="J6" s="1"/>
      <c r="K6">
        <v>240</v>
      </c>
      <c r="L6" s="36">
        <v>8</v>
      </c>
      <c r="M6">
        <f t="shared" si="3"/>
        <v>1</v>
      </c>
      <c r="N6">
        <f t="shared" si="4"/>
        <v>0</v>
      </c>
    </row>
    <row r="7" spans="1:14" x14ac:dyDescent="0.35">
      <c r="A7" t="s">
        <v>138</v>
      </c>
      <c r="B7">
        <f t="shared" si="1"/>
        <v>0</v>
      </c>
      <c r="C7">
        <f t="shared" si="2"/>
        <v>0</v>
      </c>
      <c r="D7">
        <v>1</v>
      </c>
      <c r="E7">
        <v>32</v>
      </c>
      <c r="F7">
        <f t="shared" si="0"/>
        <v>132</v>
      </c>
      <c r="G7">
        <v>1808</v>
      </c>
      <c r="H7">
        <v>1739</v>
      </c>
      <c r="I7" s="1"/>
      <c r="J7" s="1"/>
      <c r="K7">
        <v>480</v>
      </c>
      <c r="L7" s="36">
        <v>8</v>
      </c>
      <c r="M7">
        <f t="shared" si="3"/>
        <v>1</v>
      </c>
      <c r="N7">
        <f t="shared" si="4"/>
        <v>0</v>
      </c>
    </row>
    <row r="8" spans="1:14" x14ac:dyDescent="0.35">
      <c r="A8" t="s">
        <v>138</v>
      </c>
      <c r="B8">
        <f t="shared" si="1"/>
        <v>0</v>
      </c>
      <c r="C8">
        <f t="shared" si="2"/>
        <v>0</v>
      </c>
      <c r="D8">
        <v>1</v>
      </c>
      <c r="E8">
        <v>64</v>
      </c>
      <c r="F8">
        <f t="shared" si="0"/>
        <v>164</v>
      </c>
      <c r="G8">
        <v>3113</v>
      </c>
      <c r="H8">
        <v>3035</v>
      </c>
      <c r="I8" s="1"/>
      <c r="K8">
        <v>960</v>
      </c>
      <c r="L8" s="36">
        <v>8</v>
      </c>
      <c r="M8">
        <f t="shared" si="3"/>
        <v>1</v>
      </c>
      <c r="N8">
        <f t="shared" si="4"/>
        <v>0</v>
      </c>
    </row>
    <row r="9" spans="1:14" x14ac:dyDescent="0.35">
      <c r="A9" t="s">
        <v>138</v>
      </c>
      <c r="B9">
        <f t="shared" si="1"/>
        <v>0</v>
      </c>
      <c r="C9">
        <f t="shared" si="2"/>
        <v>0</v>
      </c>
      <c r="D9">
        <v>2</v>
      </c>
      <c r="E9">
        <v>1</v>
      </c>
      <c r="F9">
        <f t="shared" si="0"/>
        <v>201</v>
      </c>
      <c r="G9">
        <v>945</v>
      </c>
      <c r="H9">
        <v>849</v>
      </c>
      <c r="I9" s="1">
        <v>727</v>
      </c>
      <c r="J9">
        <v>679</v>
      </c>
      <c r="K9">
        <v>142</v>
      </c>
      <c r="L9" s="36">
        <v>16</v>
      </c>
      <c r="M9">
        <f t="shared" si="3"/>
        <v>1</v>
      </c>
      <c r="N9">
        <f t="shared" si="4"/>
        <v>1</v>
      </c>
    </row>
    <row r="10" spans="1:14" x14ac:dyDescent="0.35">
      <c r="A10" t="s">
        <v>138</v>
      </c>
      <c r="B10">
        <f t="shared" si="1"/>
        <v>0</v>
      </c>
      <c r="C10">
        <f t="shared" si="2"/>
        <v>0</v>
      </c>
      <c r="D10">
        <v>2</v>
      </c>
      <c r="E10">
        <v>2</v>
      </c>
      <c r="F10">
        <f t="shared" si="0"/>
        <v>202</v>
      </c>
      <c r="G10">
        <v>1124</v>
      </c>
      <c r="H10">
        <v>1030</v>
      </c>
      <c r="I10" s="1"/>
      <c r="K10">
        <v>156</v>
      </c>
      <c r="L10" s="36">
        <v>16</v>
      </c>
      <c r="M10">
        <f t="shared" si="3"/>
        <v>1</v>
      </c>
      <c r="N10">
        <f t="shared" si="4"/>
        <v>0</v>
      </c>
    </row>
    <row r="11" spans="1:14" x14ac:dyDescent="0.35">
      <c r="A11" t="s">
        <v>138</v>
      </c>
      <c r="B11">
        <f t="shared" si="1"/>
        <v>0</v>
      </c>
      <c r="C11">
        <f t="shared" si="2"/>
        <v>0</v>
      </c>
      <c r="D11">
        <v>2</v>
      </c>
      <c r="E11">
        <v>4</v>
      </c>
      <c r="F11">
        <f t="shared" si="0"/>
        <v>204</v>
      </c>
      <c r="G11">
        <v>1327</v>
      </c>
      <c r="H11">
        <v>1230</v>
      </c>
      <c r="I11" s="1"/>
      <c r="K11">
        <v>184</v>
      </c>
      <c r="L11" s="36">
        <v>16</v>
      </c>
      <c r="M11">
        <f t="shared" si="3"/>
        <v>1</v>
      </c>
      <c r="N11">
        <f t="shared" si="4"/>
        <v>0</v>
      </c>
    </row>
    <row r="12" spans="1:14" x14ac:dyDescent="0.35">
      <c r="A12" t="s">
        <v>138</v>
      </c>
      <c r="B12">
        <f t="shared" si="1"/>
        <v>0</v>
      </c>
      <c r="C12">
        <f t="shared" si="2"/>
        <v>0</v>
      </c>
      <c r="D12">
        <v>2</v>
      </c>
      <c r="E12">
        <v>8</v>
      </c>
      <c r="F12">
        <f t="shared" si="0"/>
        <v>208</v>
      </c>
      <c r="G12">
        <v>1592</v>
      </c>
      <c r="H12">
        <v>1498</v>
      </c>
      <c r="I12" s="1"/>
      <c r="K12">
        <v>240</v>
      </c>
      <c r="L12" s="36">
        <v>16</v>
      </c>
      <c r="M12">
        <f t="shared" si="3"/>
        <v>1</v>
      </c>
      <c r="N12">
        <f t="shared" si="4"/>
        <v>0</v>
      </c>
    </row>
    <row r="13" spans="1:14" x14ac:dyDescent="0.35">
      <c r="A13" t="s">
        <v>138</v>
      </c>
      <c r="B13">
        <f t="shared" si="1"/>
        <v>0</v>
      </c>
      <c r="C13">
        <f t="shared" si="2"/>
        <v>0</v>
      </c>
      <c r="D13">
        <v>2</v>
      </c>
      <c r="E13">
        <v>16</v>
      </c>
      <c r="F13">
        <f t="shared" si="0"/>
        <v>216</v>
      </c>
      <c r="G13">
        <v>2240</v>
      </c>
      <c r="H13">
        <v>2136</v>
      </c>
      <c r="I13" s="1"/>
      <c r="K13">
        <v>480</v>
      </c>
      <c r="L13" s="36">
        <v>16</v>
      </c>
      <c r="M13">
        <f t="shared" si="3"/>
        <v>1</v>
      </c>
      <c r="N13">
        <f t="shared" si="4"/>
        <v>0</v>
      </c>
    </row>
    <row r="14" spans="1:14" x14ac:dyDescent="0.35">
      <c r="A14" t="s">
        <v>138</v>
      </c>
      <c r="B14">
        <f t="shared" si="1"/>
        <v>0</v>
      </c>
      <c r="C14">
        <f t="shared" si="2"/>
        <v>0</v>
      </c>
      <c r="D14">
        <v>2</v>
      </c>
      <c r="E14">
        <v>32</v>
      </c>
      <c r="F14">
        <f t="shared" si="0"/>
        <v>232</v>
      </c>
      <c r="G14">
        <v>3544</v>
      </c>
      <c r="H14">
        <v>3447</v>
      </c>
      <c r="I14" s="1"/>
      <c r="K14">
        <v>960</v>
      </c>
      <c r="L14" s="36">
        <v>16</v>
      </c>
      <c r="M14">
        <f t="shared" si="3"/>
        <v>1</v>
      </c>
      <c r="N14">
        <f t="shared" si="4"/>
        <v>0</v>
      </c>
    </row>
    <row r="15" spans="1:14" x14ac:dyDescent="0.35">
      <c r="A15" t="s">
        <v>138</v>
      </c>
      <c r="B15">
        <f t="shared" si="1"/>
        <v>0</v>
      </c>
      <c r="C15">
        <f t="shared" si="2"/>
        <v>0</v>
      </c>
      <c r="D15">
        <v>2</v>
      </c>
      <c r="E15">
        <v>64</v>
      </c>
      <c r="F15">
        <f t="shared" si="0"/>
        <v>264</v>
      </c>
      <c r="G15">
        <v>6147</v>
      </c>
      <c r="H15">
        <v>6019</v>
      </c>
      <c r="I15" s="1"/>
      <c r="K15">
        <v>1920</v>
      </c>
      <c r="L15" s="36">
        <v>16</v>
      </c>
      <c r="M15">
        <f t="shared" si="3"/>
        <v>1</v>
      </c>
      <c r="N15">
        <f t="shared" si="4"/>
        <v>0</v>
      </c>
    </row>
    <row r="16" spans="1:14" x14ac:dyDescent="0.35">
      <c r="A16" t="s">
        <v>138</v>
      </c>
      <c r="B16">
        <f t="shared" si="1"/>
        <v>0</v>
      </c>
      <c r="C16">
        <f t="shared" si="2"/>
        <v>0</v>
      </c>
      <c r="D16">
        <v>3</v>
      </c>
      <c r="E16">
        <v>1</v>
      </c>
      <c r="F16">
        <f t="shared" si="0"/>
        <v>301</v>
      </c>
      <c r="G16">
        <v>1042</v>
      </c>
      <c r="H16">
        <v>931</v>
      </c>
      <c r="I16" s="1">
        <v>718</v>
      </c>
      <c r="J16">
        <v>667</v>
      </c>
      <c r="K16">
        <v>213</v>
      </c>
      <c r="L16" s="36">
        <v>24</v>
      </c>
      <c r="M16">
        <f t="shared" si="3"/>
        <v>1</v>
      </c>
      <c r="N16">
        <f t="shared" si="4"/>
        <v>1</v>
      </c>
    </row>
    <row r="17" spans="1:14" x14ac:dyDescent="0.35">
      <c r="A17" t="s">
        <v>138</v>
      </c>
      <c r="B17">
        <f t="shared" si="1"/>
        <v>0</v>
      </c>
      <c r="C17">
        <f t="shared" si="2"/>
        <v>0</v>
      </c>
      <c r="D17">
        <v>3</v>
      </c>
      <c r="E17">
        <v>2</v>
      </c>
      <c r="F17">
        <f t="shared" si="0"/>
        <v>302</v>
      </c>
      <c r="G17">
        <v>1311</v>
      </c>
      <c r="H17">
        <v>1201</v>
      </c>
      <c r="I17" s="1"/>
      <c r="K17">
        <v>234</v>
      </c>
      <c r="L17" s="36">
        <v>24</v>
      </c>
      <c r="M17">
        <f t="shared" si="3"/>
        <v>1</v>
      </c>
      <c r="N17">
        <f t="shared" si="4"/>
        <v>0</v>
      </c>
    </row>
    <row r="18" spans="1:14" x14ac:dyDescent="0.35">
      <c r="A18" t="s">
        <v>138</v>
      </c>
      <c r="B18">
        <f t="shared" si="1"/>
        <v>0</v>
      </c>
      <c r="C18">
        <f t="shared" si="2"/>
        <v>0</v>
      </c>
      <c r="D18">
        <v>3</v>
      </c>
      <c r="E18">
        <v>4</v>
      </c>
      <c r="F18">
        <f t="shared" si="0"/>
        <v>304</v>
      </c>
      <c r="G18">
        <v>1612</v>
      </c>
      <c r="H18">
        <v>1504</v>
      </c>
      <c r="I18" s="1"/>
      <c r="K18">
        <v>276</v>
      </c>
      <c r="L18" s="36">
        <v>24</v>
      </c>
      <c r="M18">
        <f t="shared" si="3"/>
        <v>1</v>
      </c>
      <c r="N18">
        <f t="shared" si="4"/>
        <v>0</v>
      </c>
    </row>
    <row r="19" spans="1:14" x14ac:dyDescent="0.35">
      <c r="A19" t="s">
        <v>138</v>
      </c>
      <c r="B19">
        <f t="shared" si="1"/>
        <v>0</v>
      </c>
      <c r="C19">
        <f t="shared" si="2"/>
        <v>0</v>
      </c>
      <c r="D19">
        <v>3</v>
      </c>
      <c r="E19">
        <v>8</v>
      </c>
      <c r="F19">
        <f t="shared" si="0"/>
        <v>308</v>
      </c>
      <c r="G19">
        <v>2013</v>
      </c>
      <c r="H19">
        <v>1906</v>
      </c>
      <c r="I19" s="1"/>
      <c r="K19">
        <v>360</v>
      </c>
      <c r="L19" s="36">
        <v>24</v>
      </c>
      <c r="M19">
        <f t="shared" si="3"/>
        <v>1</v>
      </c>
      <c r="N19">
        <f t="shared" si="4"/>
        <v>0</v>
      </c>
    </row>
    <row r="20" spans="1:14" x14ac:dyDescent="0.35">
      <c r="A20" t="s">
        <v>138</v>
      </c>
      <c r="B20">
        <f t="shared" si="1"/>
        <v>0</v>
      </c>
      <c r="C20">
        <f t="shared" si="2"/>
        <v>0</v>
      </c>
      <c r="D20">
        <v>3</v>
      </c>
      <c r="E20">
        <v>16</v>
      </c>
      <c r="F20">
        <f t="shared" si="0"/>
        <v>316</v>
      </c>
      <c r="G20">
        <v>2985</v>
      </c>
      <c r="H20">
        <v>2864</v>
      </c>
      <c r="I20" s="1"/>
      <c r="K20">
        <v>720</v>
      </c>
      <c r="L20" s="36">
        <v>24</v>
      </c>
      <c r="M20">
        <f t="shared" si="3"/>
        <v>1</v>
      </c>
      <c r="N20">
        <f t="shared" si="4"/>
        <v>0</v>
      </c>
    </row>
    <row r="21" spans="1:14" x14ac:dyDescent="0.35">
      <c r="A21" t="s">
        <v>138</v>
      </c>
      <c r="B21">
        <f t="shared" si="1"/>
        <v>0</v>
      </c>
      <c r="C21">
        <f t="shared" si="2"/>
        <v>0</v>
      </c>
      <c r="D21">
        <v>3</v>
      </c>
      <c r="E21">
        <v>32</v>
      </c>
      <c r="F21">
        <f t="shared" si="0"/>
        <v>332</v>
      </c>
      <c r="G21">
        <v>4936</v>
      </c>
      <c r="H21">
        <v>4831</v>
      </c>
      <c r="I21" s="1"/>
      <c r="K21">
        <v>1440</v>
      </c>
      <c r="L21" s="36">
        <v>24</v>
      </c>
      <c r="M21">
        <f t="shared" si="3"/>
        <v>1</v>
      </c>
      <c r="N21">
        <f t="shared" si="4"/>
        <v>0</v>
      </c>
    </row>
    <row r="22" spans="1:14" x14ac:dyDescent="0.35">
      <c r="A22" t="s">
        <v>138</v>
      </c>
      <c r="B22">
        <f t="shared" si="1"/>
        <v>0</v>
      </c>
      <c r="C22">
        <f t="shared" si="2"/>
        <v>0</v>
      </c>
      <c r="D22">
        <v>3</v>
      </c>
      <c r="E22">
        <v>64</v>
      </c>
      <c r="F22">
        <f t="shared" si="0"/>
        <v>364</v>
      </c>
      <c r="G22">
        <v>8835</v>
      </c>
      <c r="H22">
        <v>8818</v>
      </c>
      <c r="I22" s="1"/>
      <c r="K22">
        <v>2880</v>
      </c>
      <c r="L22" s="36">
        <v>24</v>
      </c>
      <c r="M22">
        <f t="shared" si="3"/>
        <v>1</v>
      </c>
      <c r="N22">
        <f t="shared" si="4"/>
        <v>0</v>
      </c>
    </row>
    <row r="23" spans="1:14" x14ac:dyDescent="0.35">
      <c r="A23" t="s">
        <v>138</v>
      </c>
      <c r="B23">
        <f t="shared" si="1"/>
        <v>0</v>
      </c>
      <c r="C23">
        <f t="shared" si="2"/>
        <v>0</v>
      </c>
      <c r="D23">
        <v>4</v>
      </c>
      <c r="E23">
        <v>1</v>
      </c>
      <c r="F23">
        <f t="shared" si="0"/>
        <v>401</v>
      </c>
      <c r="G23">
        <v>1455</v>
      </c>
      <c r="H23">
        <v>1326</v>
      </c>
      <c r="I23" s="1">
        <v>1022</v>
      </c>
      <c r="J23">
        <v>948</v>
      </c>
      <c r="K23">
        <v>284</v>
      </c>
      <c r="L23" s="36">
        <v>32</v>
      </c>
      <c r="M23">
        <f t="shared" si="3"/>
        <v>1</v>
      </c>
      <c r="N23">
        <f t="shared" si="4"/>
        <v>1</v>
      </c>
    </row>
    <row r="24" spans="1:14" x14ac:dyDescent="0.35">
      <c r="A24" t="s">
        <v>138</v>
      </c>
      <c r="B24">
        <f t="shared" si="1"/>
        <v>0</v>
      </c>
      <c r="C24">
        <f t="shared" si="2"/>
        <v>0</v>
      </c>
      <c r="D24">
        <v>4</v>
      </c>
      <c r="E24">
        <v>2</v>
      </c>
      <c r="F24">
        <f t="shared" si="0"/>
        <v>402</v>
      </c>
      <c r="G24">
        <v>1811</v>
      </c>
      <c r="H24">
        <v>1684</v>
      </c>
      <c r="I24" s="1"/>
      <c r="K24">
        <v>312</v>
      </c>
      <c r="L24" s="36">
        <v>32</v>
      </c>
      <c r="M24">
        <f t="shared" si="3"/>
        <v>1</v>
      </c>
      <c r="N24">
        <f t="shared" si="4"/>
        <v>0</v>
      </c>
    </row>
    <row r="25" spans="1:14" x14ac:dyDescent="0.35">
      <c r="A25" t="s">
        <v>138</v>
      </c>
      <c r="B25">
        <f t="shared" si="1"/>
        <v>0</v>
      </c>
      <c r="C25">
        <f t="shared" si="2"/>
        <v>0</v>
      </c>
      <c r="D25">
        <v>4</v>
      </c>
      <c r="E25">
        <v>4</v>
      </c>
      <c r="F25">
        <f t="shared" si="0"/>
        <v>404</v>
      </c>
      <c r="G25">
        <v>2216</v>
      </c>
      <c r="H25">
        <v>2090</v>
      </c>
      <c r="K25">
        <v>368</v>
      </c>
      <c r="L25" s="36">
        <v>32</v>
      </c>
      <c r="M25">
        <f t="shared" si="3"/>
        <v>1</v>
      </c>
      <c r="N25">
        <f t="shared" si="4"/>
        <v>0</v>
      </c>
    </row>
    <row r="26" spans="1:14" x14ac:dyDescent="0.35">
      <c r="A26" t="s">
        <v>138</v>
      </c>
      <c r="B26">
        <f t="shared" si="1"/>
        <v>0</v>
      </c>
      <c r="C26">
        <f t="shared" si="2"/>
        <v>0</v>
      </c>
      <c r="D26">
        <v>4</v>
      </c>
      <c r="E26">
        <v>8</v>
      </c>
      <c r="F26">
        <f t="shared" si="0"/>
        <v>408</v>
      </c>
      <c r="G26">
        <v>2752</v>
      </c>
      <c r="H26">
        <v>2626</v>
      </c>
      <c r="K26">
        <v>480</v>
      </c>
      <c r="L26" s="36">
        <v>32</v>
      </c>
      <c r="M26">
        <f t="shared" si="3"/>
        <v>1</v>
      </c>
      <c r="N26">
        <f t="shared" si="4"/>
        <v>0</v>
      </c>
    </row>
    <row r="27" spans="1:14" x14ac:dyDescent="0.35">
      <c r="A27" t="s">
        <v>138</v>
      </c>
      <c r="B27">
        <f t="shared" si="1"/>
        <v>0</v>
      </c>
      <c r="C27">
        <f t="shared" si="2"/>
        <v>0</v>
      </c>
      <c r="D27">
        <v>4</v>
      </c>
      <c r="E27">
        <v>16</v>
      </c>
      <c r="F27">
        <f t="shared" si="0"/>
        <v>416</v>
      </c>
      <c r="G27">
        <v>4035</v>
      </c>
      <c r="H27">
        <v>3914</v>
      </c>
      <c r="K27">
        <v>960</v>
      </c>
      <c r="L27" s="36">
        <v>32</v>
      </c>
      <c r="M27">
        <f t="shared" si="3"/>
        <v>1</v>
      </c>
      <c r="N27">
        <f t="shared" si="4"/>
        <v>0</v>
      </c>
    </row>
    <row r="28" spans="1:14" x14ac:dyDescent="0.35">
      <c r="A28" t="s">
        <v>138</v>
      </c>
      <c r="B28">
        <f t="shared" si="1"/>
        <v>0</v>
      </c>
      <c r="C28">
        <f t="shared" si="2"/>
        <v>0</v>
      </c>
      <c r="D28">
        <v>4</v>
      </c>
      <c r="E28">
        <v>32</v>
      </c>
      <c r="F28">
        <f t="shared" si="0"/>
        <v>432</v>
      </c>
      <c r="G28">
        <v>6659</v>
      </c>
      <c r="H28">
        <v>6538</v>
      </c>
      <c r="K28">
        <v>1920</v>
      </c>
      <c r="L28" s="36">
        <v>32</v>
      </c>
      <c r="M28">
        <f t="shared" si="3"/>
        <v>1</v>
      </c>
      <c r="N28">
        <f t="shared" si="4"/>
        <v>0</v>
      </c>
    </row>
    <row r="29" spans="1:14" x14ac:dyDescent="0.35">
      <c r="A29" t="s">
        <v>138</v>
      </c>
      <c r="B29">
        <f t="shared" si="1"/>
        <v>0</v>
      </c>
      <c r="C29">
        <f t="shared" si="2"/>
        <v>0</v>
      </c>
      <c r="D29">
        <v>4</v>
      </c>
      <c r="E29">
        <v>64</v>
      </c>
      <c r="F29">
        <f t="shared" si="0"/>
        <v>464</v>
      </c>
      <c r="G29">
        <v>11808</v>
      </c>
      <c r="H29">
        <v>11786</v>
      </c>
      <c r="K29">
        <v>3840</v>
      </c>
      <c r="L29" s="36">
        <v>32</v>
      </c>
      <c r="M29">
        <f t="shared" si="3"/>
        <v>1</v>
      </c>
      <c r="N29">
        <f t="shared" si="4"/>
        <v>0</v>
      </c>
    </row>
    <row r="30" spans="1:14" x14ac:dyDescent="0.35">
      <c r="A30" t="s">
        <v>138</v>
      </c>
      <c r="B30">
        <f t="shared" si="1"/>
        <v>0</v>
      </c>
      <c r="C30">
        <f t="shared" si="2"/>
        <v>0</v>
      </c>
      <c r="D30">
        <v>6</v>
      </c>
      <c r="E30">
        <v>1</v>
      </c>
      <c r="F30">
        <f t="shared" si="0"/>
        <v>601</v>
      </c>
      <c r="G30">
        <v>1801</v>
      </c>
      <c r="H30">
        <v>1722</v>
      </c>
      <c r="I30" s="1">
        <v>1045</v>
      </c>
      <c r="J30">
        <v>980</v>
      </c>
      <c r="K30">
        <v>426</v>
      </c>
      <c r="L30" s="36">
        <v>48</v>
      </c>
      <c r="M30">
        <f t="shared" si="3"/>
        <v>1</v>
      </c>
      <c r="N30">
        <f t="shared" si="4"/>
        <v>1</v>
      </c>
    </row>
    <row r="31" spans="1:14" x14ac:dyDescent="0.35">
      <c r="A31" t="s">
        <v>138</v>
      </c>
      <c r="B31">
        <f t="shared" si="1"/>
        <v>0</v>
      </c>
      <c r="C31">
        <f t="shared" si="2"/>
        <v>0</v>
      </c>
      <c r="D31">
        <v>6</v>
      </c>
      <c r="E31">
        <v>2</v>
      </c>
      <c r="F31">
        <f t="shared" si="0"/>
        <v>602</v>
      </c>
      <c r="G31">
        <v>2416</v>
      </c>
      <c r="H31">
        <v>2260</v>
      </c>
      <c r="K31">
        <v>468</v>
      </c>
      <c r="L31" s="36">
        <v>48</v>
      </c>
      <c r="M31">
        <f t="shared" si="3"/>
        <v>1</v>
      </c>
      <c r="N31">
        <f t="shared" si="4"/>
        <v>0</v>
      </c>
    </row>
    <row r="32" spans="1:14" x14ac:dyDescent="0.35">
      <c r="A32" t="s">
        <v>138</v>
      </c>
      <c r="B32">
        <f t="shared" si="1"/>
        <v>0</v>
      </c>
      <c r="C32">
        <f t="shared" si="2"/>
        <v>0</v>
      </c>
      <c r="D32">
        <v>6</v>
      </c>
      <c r="E32">
        <v>4</v>
      </c>
      <c r="F32">
        <f t="shared" si="0"/>
        <v>604</v>
      </c>
      <c r="G32">
        <v>3021</v>
      </c>
      <c r="H32">
        <v>2866</v>
      </c>
      <c r="K32">
        <v>552</v>
      </c>
      <c r="L32" s="36">
        <v>48</v>
      </c>
      <c r="M32">
        <f t="shared" si="3"/>
        <v>1</v>
      </c>
      <c r="N32">
        <f t="shared" si="4"/>
        <v>0</v>
      </c>
    </row>
    <row r="33" spans="1:14" x14ac:dyDescent="0.35">
      <c r="A33" t="s">
        <v>138</v>
      </c>
      <c r="B33">
        <f t="shared" si="1"/>
        <v>0</v>
      </c>
      <c r="C33">
        <f t="shared" si="2"/>
        <v>0</v>
      </c>
      <c r="D33">
        <v>6</v>
      </c>
      <c r="E33">
        <v>8</v>
      </c>
      <c r="F33">
        <f t="shared" si="0"/>
        <v>608</v>
      </c>
      <c r="G33">
        <v>3835</v>
      </c>
      <c r="H33">
        <v>3680</v>
      </c>
      <c r="K33">
        <v>720</v>
      </c>
      <c r="L33" s="36">
        <v>48</v>
      </c>
      <c r="M33">
        <f t="shared" si="3"/>
        <v>1</v>
      </c>
      <c r="N33">
        <f t="shared" si="4"/>
        <v>0</v>
      </c>
    </row>
    <row r="34" spans="1:14" x14ac:dyDescent="0.35">
      <c r="A34" t="s">
        <v>138</v>
      </c>
      <c r="B34">
        <f t="shared" si="1"/>
        <v>0</v>
      </c>
      <c r="C34">
        <f t="shared" si="2"/>
        <v>0</v>
      </c>
      <c r="D34">
        <v>6</v>
      </c>
      <c r="E34">
        <v>16</v>
      </c>
      <c r="F34">
        <f t="shared" ref="F34:F65" si="5">10000*(2*B34+C34)+100*D34+E34</f>
        <v>616</v>
      </c>
      <c r="G34">
        <v>5763</v>
      </c>
      <c r="H34">
        <v>5588</v>
      </c>
      <c r="K34">
        <v>1440</v>
      </c>
      <c r="L34" s="36">
        <v>48</v>
      </c>
      <c r="M34">
        <f t="shared" si="3"/>
        <v>1</v>
      </c>
      <c r="N34">
        <f t="shared" si="4"/>
        <v>0</v>
      </c>
    </row>
    <row r="35" spans="1:14" x14ac:dyDescent="0.35">
      <c r="A35" t="s">
        <v>138</v>
      </c>
      <c r="B35">
        <f t="shared" si="1"/>
        <v>0</v>
      </c>
      <c r="C35">
        <f t="shared" si="2"/>
        <v>0</v>
      </c>
      <c r="D35">
        <v>6</v>
      </c>
      <c r="E35">
        <v>32</v>
      </c>
      <c r="F35">
        <f t="shared" si="5"/>
        <v>632</v>
      </c>
      <c r="G35">
        <v>9603</v>
      </c>
      <c r="H35">
        <v>9514</v>
      </c>
      <c r="K35">
        <v>2880</v>
      </c>
      <c r="L35" s="36">
        <v>48</v>
      </c>
      <c r="M35">
        <f t="shared" si="3"/>
        <v>1</v>
      </c>
      <c r="N35">
        <f t="shared" si="4"/>
        <v>0</v>
      </c>
    </row>
    <row r="36" spans="1:14" x14ac:dyDescent="0.35">
      <c r="A36" t="s">
        <v>138</v>
      </c>
      <c r="B36">
        <f t="shared" si="1"/>
        <v>0</v>
      </c>
      <c r="C36">
        <f t="shared" si="2"/>
        <v>0</v>
      </c>
      <c r="D36">
        <v>6</v>
      </c>
      <c r="E36">
        <v>64</v>
      </c>
      <c r="F36">
        <f t="shared" si="5"/>
        <v>664</v>
      </c>
      <c r="G36">
        <v>17494</v>
      </c>
      <c r="H36">
        <v>17290</v>
      </c>
      <c r="K36">
        <v>5760</v>
      </c>
      <c r="L36" s="36">
        <v>48</v>
      </c>
      <c r="M36">
        <f t="shared" si="3"/>
        <v>1</v>
      </c>
      <c r="N36">
        <f t="shared" si="4"/>
        <v>0</v>
      </c>
    </row>
    <row r="37" spans="1:14" x14ac:dyDescent="0.35">
      <c r="A37" t="s">
        <v>138</v>
      </c>
      <c r="B37">
        <f t="shared" si="1"/>
        <v>0</v>
      </c>
      <c r="C37">
        <f t="shared" si="2"/>
        <v>0</v>
      </c>
      <c r="D37">
        <v>12</v>
      </c>
      <c r="E37">
        <v>1</v>
      </c>
      <c r="F37">
        <f t="shared" si="5"/>
        <v>1201</v>
      </c>
      <c r="G37">
        <v>2224</v>
      </c>
      <c r="H37">
        <v>2068</v>
      </c>
      <c r="I37" s="1">
        <v>1433</v>
      </c>
      <c r="J37" s="1">
        <v>1270</v>
      </c>
      <c r="K37">
        <v>468</v>
      </c>
      <c r="L37" s="36">
        <v>48</v>
      </c>
      <c r="M37">
        <f t="shared" si="3"/>
        <v>1</v>
      </c>
      <c r="N37">
        <f t="shared" si="4"/>
        <v>1</v>
      </c>
    </row>
    <row r="38" spans="1:14" x14ac:dyDescent="0.35">
      <c r="A38" t="s">
        <v>138</v>
      </c>
      <c r="B38">
        <f t="shared" si="1"/>
        <v>0</v>
      </c>
      <c r="C38">
        <f t="shared" si="2"/>
        <v>0</v>
      </c>
      <c r="D38">
        <v>12</v>
      </c>
      <c r="E38">
        <v>2</v>
      </c>
      <c r="F38">
        <f t="shared" si="5"/>
        <v>1202</v>
      </c>
      <c r="G38">
        <v>2963</v>
      </c>
      <c r="H38">
        <v>2802</v>
      </c>
      <c r="K38">
        <v>552</v>
      </c>
      <c r="L38" s="36">
        <v>48</v>
      </c>
      <c r="M38">
        <f t="shared" si="3"/>
        <v>1</v>
      </c>
      <c r="N38">
        <f t="shared" si="4"/>
        <v>0</v>
      </c>
    </row>
    <row r="39" spans="1:14" x14ac:dyDescent="0.35">
      <c r="A39" t="s">
        <v>138</v>
      </c>
      <c r="B39">
        <f t="shared" si="1"/>
        <v>0</v>
      </c>
      <c r="C39">
        <f t="shared" si="2"/>
        <v>0</v>
      </c>
      <c r="D39">
        <v>12</v>
      </c>
      <c r="E39">
        <v>4</v>
      </c>
      <c r="F39">
        <f t="shared" si="5"/>
        <v>1204</v>
      </c>
      <c r="G39">
        <v>3839</v>
      </c>
      <c r="H39">
        <v>3682</v>
      </c>
      <c r="K39">
        <v>720</v>
      </c>
      <c r="L39" s="36">
        <v>48</v>
      </c>
      <c r="M39">
        <f t="shared" si="3"/>
        <v>1</v>
      </c>
      <c r="N39">
        <f t="shared" si="4"/>
        <v>0</v>
      </c>
    </row>
    <row r="40" spans="1:14" x14ac:dyDescent="0.35">
      <c r="A40" t="s">
        <v>138</v>
      </c>
      <c r="B40">
        <f t="shared" si="1"/>
        <v>0</v>
      </c>
      <c r="C40">
        <f t="shared" si="2"/>
        <v>0</v>
      </c>
      <c r="D40">
        <v>12</v>
      </c>
      <c r="E40">
        <v>8</v>
      </c>
      <c r="F40">
        <f t="shared" si="5"/>
        <v>1208</v>
      </c>
      <c r="G40">
        <v>5763</v>
      </c>
      <c r="H40">
        <v>5630</v>
      </c>
      <c r="K40">
        <v>1440</v>
      </c>
      <c r="L40" s="36">
        <v>48</v>
      </c>
      <c r="M40">
        <f t="shared" si="3"/>
        <v>1</v>
      </c>
      <c r="N40">
        <f t="shared" si="4"/>
        <v>0</v>
      </c>
    </row>
    <row r="41" spans="1:14" x14ac:dyDescent="0.35">
      <c r="A41" t="s">
        <v>138</v>
      </c>
      <c r="B41">
        <f t="shared" si="1"/>
        <v>0</v>
      </c>
      <c r="C41">
        <f t="shared" si="2"/>
        <v>0</v>
      </c>
      <c r="D41">
        <v>12</v>
      </c>
      <c r="E41">
        <v>16</v>
      </c>
      <c r="F41">
        <f t="shared" si="5"/>
        <v>1216</v>
      </c>
      <c r="G41">
        <v>9704</v>
      </c>
      <c r="H41">
        <v>9606</v>
      </c>
      <c r="K41">
        <v>2880</v>
      </c>
      <c r="L41" s="36">
        <v>48</v>
      </c>
      <c r="M41">
        <f t="shared" si="3"/>
        <v>1</v>
      </c>
      <c r="N41">
        <f t="shared" si="4"/>
        <v>0</v>
      </c>
    </row>
    <row r="42" spans="1:14" x14ac:dyDescent="0.35">
      <c r="A42" t="s">
        <v>138</v>
      </c>
      <c r="B42">
        <f t="shared" si="1"/>
        <v>0</v>
      </c>
      <c r="C42">
        <f t="shared" si="2"/>
        <v>0</v>
      </c>
      <c r="D42">
        <v>12</v>
      </c>
      <c r="E42">
        <v>32</v>
      </c>
      <c r="F42">
        <f t="shared" si="5"/>
        <v>1232</v>
      </c>
      <c r="G42">
        <v>17667</v>
      </c>
      <c r="H42">
        <v>17290</v>
      </c>
      <c r="K42">
        <v>5760</v>
      </c>
      <c r="L42" s="36">
        <v>48</v>
      </c>
      <c r="M42">
        <f t="shared" si="3"/>
        <v>1</v>
      </c>
      <c r="N42">
        <f t="shared" si="4"/>
        <v>0</v>
      </c>
    </row>
    <row r="43" spans="1:14" x14ac:dyDescent="0.35">
      <c r="A43" t="s">
        <v>138</v>
      </c>
      <c r="B43">
        <f t="shared" si="1"/>
        <v>0</v>
      </c>
      <c r="C43">
        <f t="shared" si="2"/>
        <v>0</v>
      </c>
      <c r="D43">
        <v>12</v>
      </c>
      <c r="E43">
        <v>64</v>
      </c>
      <c r="F43">
        <f t="shared" si="5"/>
        <v>1264</v>
      </c>
      <c r="G43">
        <v>33027</v>
      </c>
      <c r="H43">
        <v>33034</v>
      </c>
      <c r="K43">
        <v>11520</v>
      </c>
      <c r="L43" s="36">
        <v>48</v>
      </c>
      <c r="M43">
        <f t="shared" si="3"/>
        <v>1</v>
      </c>
      <c r="N43">
        <f t="shared" si="4"/>
        <v>0</v>
      </c>
    </row>
    <row r="44" spans="1:14" x14ac:dyDescent="0.35">
      <c r="A44" s="1" t="s">
        <v>17</v>
      </c>
      <c r="B44">
        <f t="shared" si="1"/>
        <v>0</v>
      </c>
      <c r="C44">
        <f t="shared" si="2"/>
        <v>1</v>
      </c>
      <c r="D44">
        <v>1</v>
      </c>
      <c r="E44">
        <v>1</v>
      </c>
      <c r="F44">
        <f t="shared" si="5"/>
        <v>10101</v>
      </c>
      <c r="G44" t="s">
        <v>162</v>
      </c>
      <c r="H44" t="s">
        <v>162</v>
      </c>
      <c r="I44" s="1">
        <v>98</v>
      </c>
      <c r="J44" s="1">
        <v>100</v>
      </c>
      <c r="L44" s="36">
        <v>8</v>
      </c>
      <c r="M44">
        <f t="shared" si="3"/>
        <v>1</v>
      </c>
      <c r="N44">
        <f t="shared" si="4"/>
        <v>1</v>
      </c>
    </row>
    <row r="45" spans="1:14" x14ac:dyDescent="0.35">
      <c r="A45" s="1" t="s">
        <v>17</v>
      </c>
      <c r="B45">
        <f t="shared" si="1"/>
        <v>0</v>
      </c>
      <c r="C45">
        <f t="shared" si="2"/>
        <v>1</v>
      </c>
      <c r="D45" s="1">
        <v>2</v>
      </c>
      <c r="E45" s="1">
        <v>1</v>
      </c>
      <c r="F45">
        <f t="shared" si="5"/>
        <v>10201</v>
      </c>
      <c r="G45">
        <v>445</v>
      </c>
      <c r="H45">
        <v>506</v>
      </c>
      <c r="I45" s="1">
        <v>449</v>
      </c>
      <c r="J45" s="1">
        <v>417</v>
      </c>
      <c r="K45" s="1">
        <v>78</v>
      </c>
      <c r="L45">
        <v>8</v>
      </c>
      <c r="M45">
        <f t="shared" si="3"/>
        <v>1</v>
      </c>
      <c r="N45">
        <f t="shared" si="4"/>
        <v>1</v>
      </c>
    </row>
    <row r="46" spans="1:14" x14ac:dyDescent="0.35">
      <c r="A46" s="1" t="s">
        <v>17</v>
      </c>
      <c r="B46">
        <f t="shared" si="1"/>
        <v>0</v>
      </c>
      <c r="C46">
        <f t="shared" si="2"/>
        <v>1</v>
      </c>
      <c r="D46" s="1">
        <v>2</v>
      </c>
      <c r="E46" s="1">
        <v>2</v>
      </c>
      <c r="F46">
        <f t="shared" si="5"/>
        <v>10202</v>
      </c>
      <c r="G46" s="1">
        <v>667</v>
      </c>
      <c r="H46" s="1">
        <v>628</v>
      </c>
      <c r="I46" s="1"/>
      <c r="J46" s="1"/>
      <c r="K46" s="1">
        <v>92</v>
      </c>
      <c r="L46">
        <v>8</v>
      </c>
      <c r="M46">
        <f t="shared" si="3"/>
        <v>1</v>
      </c>
      <c r="N46">
        <f t="shared" si="4"/>
        <v>0</v>
      </c>
    </row>
    <row r="47" spans="1:14" x14ac:dyDescent="0.35">
      <c r="A47" s="1" t="s">
        <v>17</v>
      </c>
      <c r="B47">
        <f t="shared" si="1"/>
        <v>0</v>
      </c>
      <c r="C47">
        <f t="shared" si="2"/>
        <v>1</v>
      </c>
      <c r="D47" s="1">
        <v>2</v>
      </c>
      <c r="E47" s="1">
        <v>4</v>
      </c>
      <c r="F47">
        <f t="shared" si="5"/>
        <v>10204</v>
      </c>
      <c r="G47" s="1">
        <v>822</v>
      </c>
      <c r="H47" s="1">
        <v>774</v>
      </c>
      <c r="K47" s="1">
        <v>120</v>
      </c>
      <c r="L47">
        <v>8</v>
      </c>
      <c r="M47">
        <f t="shared" si="3"/>
        <v>1</v>
      </c>
      <c r="N47">
        <f t="shared" si="4"/>
        <v>0</v>
      </c>
    </row>
    <row r="48" spans="1:14" x14ac:dyDescent="0.35">
      <c r="A48" s="1" t="s">
        <v>17</v>
      </c>
      <c r="B48">
        <f t="shared" si="1"/>
        <v>0</v>
      </c>
      <c r="C48">
        <f t="shared" si="2"/>
        <v>1</v>
      </c>
      <c r="D48" s="1">
        <v>2</v>
      </c>
      <c r="E48" s="1">
        <v>8</v>
      </c>
      <c r="F48">
        <f t="shared" si="5"/>
        <v>10208</v>
      </c>
      <c r="G48" s="1">
        <v>1144</v>
      </c>
      <c r="H48" s="1">
        <v>1099</v>
      </c>
      <c r="K48" s="1">
        <v>240</v>
      </c>
      <c r="L48">
        <v>8</v>
      </c>
      <c r="M48">
        <f t="shared" si="3"/>
        <v>1</v>
      </c>
      <c r="N48">
        <f t="shared" si="4"/>
        <v>0</v>
      </c>
    </row>
    <row r="49" spans="1:14" x14ac:dyDescent="0.35">
      <c r="A49" s="1" t="s">
        <v>17</v>
      </c>
      <c r="B49">
        <f t="shared" si="1"/>
        <v>0</v>
      </c>
      <c r="C49">
        <f t="shared" si="2"/>
        <v>1</v>
      </c>
      <c r="D49" s="1">
        <v>2</v>
      </c>
      <c r="E49" s="1">
        <v>16</v>
      </c>
      <c r="F49">
        <f t="shared" si="5"/>
        <v>10216</v>
      </c>
      <c r="G49" s="1">
        <v>1796</v>
      </c>
      <c r="H49" s="1">
        <v>1742</v>
      </c>
      <c r="K49" s="1">
        <v>480</v>
      </c>
      <c r="L49">
        <v>8</v>
      </c>
      <c r="M49">
        <f t="shared" si="3"/>
        <v>1</v>
      </c>
      <c r="N49">
        <f t="shared" si="4"/>
        <v>0</v>
      </c>
    </row>
    <row r="50" spans="1:14" x14ac:dyDescent="0.35">
      <c r="A50" s="1" t="s">
        <v>17</v>
      </c>
      <c r="B50">
        <f t="shared" si="1"/>
        <v>0</v>
      </c>
      <c r="C50">
        <f t="shared" si="2"/>
        <v>1</v>
      </c>
      <c r="D50" s="1">
        <v>2</v>
      </c>
      <c r="E50" s="1">
        <v>32</v>
      </c>
      <c r="F50">
        <f t="shared" si="5"/>
        <v>10232</v>
      </c>
      <c r="G50" s="1">
        <v>3133</v>
      </c>
      <c r="H50" s="1">
        <v>3070</v>
      </c>
      <c r="K50" s="1">
        <v>960</v>
      </c>
      <c r="L50">
        <v>8</v>
      </c>
      <c r="M50">
        <f t="shared" si="3"/>
        <v>1</v>
      </c>
      <c r="N50">
        <f t="shared" si="4"/>
        <v>0</v>
      </c>
    </row>
    <row r="51" spans="1:14" x14ac:dyDescent="0.35">
      <c r="A51" s="1" t="s">
        <v>17</v>
      </c>
      <c r="B51">
        <f t="shared" si="1"/>
        <v>0</v>
      </c>
      <c r="C51">
        <f t="shared" si="2"/>
        <v>1</v>
      </c>
      <c r="D51" s="1">
        <v>2</v>
      </c>
      <c r="E51" s="1">
        <v>64</v>
      </c>
      <c r="F51">
        <f t="shared" si="5"/>
        <v>10264</v>
      </c>
      <c r="G51" s="1">
        <v>5670</v>
      </c>
      <c r="H51" s="1">
        <v>5662</v>
      </c>
      <c r="K51" s="1">
        <v>1920</v>
      </c>
      <c r="L51">
        <v>8</v>
      </c>
      <c r="M51">
        <f t="shared" si="3"/>
        <v>1</v>
      </c>
      <c r="N51">
        <f t="shared" si="4"/>
        <v>0</v>
      </c>
    </row>
    <row r="52" spans="1:14" x14ac:dyDescent="0.35">
      <c r="A52" s="1" t="s">
        <v>17</v>
      </c>
      <c r="B52">
        <f t="shared" si="1"/>
        <v>0</v>
      </c>
      <c r="C52">
        <f t="shared" si="2"/>
        <v>1</v>
      </c>
      <c r="D52" s="1">
        <v>3</v>
      </c>
      <c r="E52" s="1">
        <v>1</v>
      </c>
      <c r="F52">
        <f t="shared" si="5"/>
        <v>10301</v>
      </c>
      <c r="G52" s="1">
        <v>939</v>
      </c>
      <c r="H52" s="1">
        <v>859</v>
      </c>
      <c r="I52" s="1">
        <v>615</v>
      </c>
      <c r="J52" s="1">
        <v>575</v>
      </c>
      <c r="K52" s="1">
        <v>213</v>
      </c>
      <c r="L52">
        <v>24</v>
      </c>
      <c r="M52">
        <f t="shared" si="3"/>
        <v>1</v>
      </c>
      <c r="N52">
        <f t="shared" si="4"/>
        <v>1</v>
      </c>
    </row>
    <row r="53" spans="1:14" x14ac:dyDescent="0.35">
      <c r="A53" s="1" t="s">
        <v>17</v>
      </c>
      <c r="B53">
        <f t="shared" si="1"/>
        <v>0</v>
      </c>
      <c r="C53">
        <f t="shared" si="2"/>
        <v>1</v>
      </c>
      <c r="D53" s="1">
        <v>3</v>
      </c>
      <c r="E53" s="1">
        <v>2</v>
      </c>
      <c r="F53">
        <f t="shared" si="5"/>
        <v>10302</v>
      </c>
      <c r="G53" s="1">
        <v>1205</v>
      </c>
      <c r="H53" s="1">
        <v>1128</v>
      </c>
      <c r="K53" s="1">
        <v>234</v>
      </c>
      <c r="L53">
        <v>24</v>
      </c>
      <c r="M53">
        <f t="shared" si="3"/>
        <v>1</v>
      </c>
      <c r="N53">
        <f t="shared" si="4"/>
        <v>0</v>
      </c>
    </row>
    <row r="54" spans="1:14" x14ac:dyDescent="0.35">
      <c r="A54" s="1" t="s">
        <v>17</v>
      </c>
      <c r="B54">
        <f t="shared" si="1"/>
        <v>0</v>
      </c>
      <c r="C54">
        <f t="shared" si="2"/>
        <v>1</v>
      </c>
      <c r="D54" s="1">
        <v>3</v>
      </c>
      <c r="E54" s="1">
        <v>4</v>
      </c>
      <c r="F54">
        <f t="shared" si="5"/>
        <v>10304</v>
      </c>
      <c r="G54" s="1">
        <v>1508</v>
      </c>
      <c r="H54" s="1">
        <v>1432</v>
      </c>
      <c r="K54" s="1">
        <v>276</v>
      </c>
      <c r="L54">
        <v>24</v>
      </c>
      <c r="M54">
        <f t="shared" si="3"/>
        <v>1</v>
      </c>
      <c r="N54">
        <f t="shared" si="4"/>
        <v>0</v>
      </c>
    </row>
    <row r="55" spans="1:14" x14ac:dyDescent="0.35">
      <c r="A55" s="1" t="s">
        <v>17</v>
      </c>
      <c r="B55">
        <f t="shared" si="1"/>
        <v>0</v>
      </c>
      <c r="C55">
        <f t="shared" si="2"/>
        <v>1</v>
      </c>
      <c r="D55" s="1">
        <v>3</v>
      </c>
      <c r="E55" s="1">
        <v>8</v>
      </c>
      <c r="F55">
        <f t="shared" si="5"/>
        <v>10308</v>
      </c>
      <c r="G55" s="1">
        <v>1915</v>
      </c>
      <c r="H55" s="1">
        <v>1834</v>
      </c>
      <c r="K55" s="1">
        <v>360</v>
      </c>
      <c r="L55">
        <v>24</v>
      </c>
      <c r="M55">
        <f t="shared" si="3"/>
        <v>1</v>
      </c>
      <c r="N55">
        <f t="shared" si="4"/>
        <v>0</v>
      </c>
    </row>
    <row r="56" spans="1:14" x14ac:dyDescent="0.35">
      <c r="A56" s="1" t="s">
        <v>17</v>
      </c>
      <c r="B56">
        <f t="shared" si="1"/>
        <v>0</v>
      </c>
      <c r="C56">
        <f t="shared" si="2"/>
        <v>1</v>
      </c>
      <c r="D56" s="1">
        <v>3</v>
      </c>
      <c r="E56" s="1">
        <v>16</v>
      </c>
      <c r="F56">
        <f t="shared" si="5"/>
        <v>10316</v>
      </c>
      <c r="G56" s="1">
        <v>2857</v>
      </c>
      <c r="H56" s="1">
        <v>2800</v>
      </c>
      <c r="K56" s="1">
        <v>720</v>
      </c>
      <c r="L56">
        <v>24</v>
      </c>
      <c r="M56">
        <f t="shared" si="3"/>
        <v>1</v>
      </c>
      <c r="N56">
        <f t="shared" si="4"/>
        <v>0</v>
      </c>
    </row>
    <row r="57" spans="1:14" x14ac:dyDescent="0.35">
      <c r="A57" s="1" t="s">
        <v>17</v>
      </c>
      <c r="B57">
        <f t="shared" si="1"/>
        <v>0</v>
      </c>
      <c r="C57">
        <f t="shared" si="2"/>
        <v>1</v>
      </c>
      <c r="D57" s="1">
        <v>3</v>
      </c>
      <c r="E57" s="1">
        <v>32</v>
      </c>
      <c r="F57">
        <f t="shared" si="5"/>
        <v>10332</v>
      </c>
      <c r="G57" s="1">
        <v>4833</v>
      </c>
      <c r="H57" s="1">
        <v>4762</v>
      </c>
      <c r="K57" s="1">
        <v>1440</v>
      </c>
      <c r="L57">
        <v>24</v>
      </c>
      <c r="M57">
        <f t="shared" si="3"/>
        <v>1</v>
      </c>
      <c r="N57">
        <f t="shared" si="4"/>
        <v>0</v>
      </c>
    </row>
    <row r="58" spans="1:14" x14ac:dyDescent="0.35">
      <c r="A58" s="1" t="s">
        <v>17</v>
      </c>
      <c r="B58">
        <f t="shared" si="1"/>
        <v>0</v>
      </c>
      <c r="C58">
        <f t="shared" si="2"/>
        <v>1</v>
      </c>
      <c r="D58" s="1">
        <v>3</v>
      </c>
      <c r="E58" s="1">
        <v>64</v>
      </c>
      <c r="F58">
        <f t="shared" si="5"/>
        <v>10364</v>
      </c>
      <c r="G58" s="1">
        <v>8744</v>
      </c>
      <c r="H58" s="1">
        <v>8694</v>
      </c>
      <c r="K58" s="1">
        <v>2880</v>
      </c>
      <c r="L58">
        <v>24</v>
      </c>
      <c r="M58">
        <f t="shared" si="3"/>
        <v>1</v>
      </c>
      <c r="N58">
        <f t="shared" si="4"/>
        <v>0</v>
      </c>
    </row>
    <row r="59" spans="1:14" x14ac:dyDescent="0.35">
      <c r="A59" s="1" t="s">
        <v>17</v>
      </c>
      <c r="B59">
        <f t="shared" si="1"/>
        <v>0</v>
      </c>
      <c r="C59">
        <f t="shared" si="2"/>
        <v>1</v>
      </c>
      <c r="D59" s="1">
        <v>4</v>
      </c>
      <c r="E59" s="1">
        <v>1</v>
      </c>
      <c r="F59">
        <f t="shared" si="5"/>
        <v>10401</v>
      </c>
      <c r="G59" s="1">
        <v>862</v>
      </c>
      <c r="H59" s="1">
        <v>798</v>
      </c>
      <c r="I59" s="1">
        <v>646</v>
      </c>
      <c r="J59" s="1">
        <v>608</v>
      </c>
      <c r="K59" s="1">
        <v>156</v>
      </c>
      <c r="L59">
        <v>16</v>
      </c>
      <c r="M59">
        <f t="shared" si="3"/>
        <v>1</v>
      </c>
      <c r="N59">
        <f t="shared" si="4"/>
        <v>1</v>
      </c>
    </row>
    <row r="60" spans="1:14" x14ac:dyDescent="0.35">
      <c r="A60" s="1" t="s">
        <v>17</v>
      </c>
      <c r="B60">
        <f t="shared" si="1"/>
        <v>0</v>
      </c>
      <c r="C60">
        <f t="shared" si="2"/>
        <v>1</v>
      </c>
      <c r="D60" s="1">
        <v>4</v>
      </c>
      <c r="E60" s="1">
        <v>2</v>
      </c>
      <c r="F60">
        <f t="shared" si="5"/>
        <v>10402</v>
      </c>
      <c r="G60" s="1">
        <v>1107</v>
      </c>
      <c r="H60" s="1">
        <v>1045</v>
      </c>
      <c r="K60" s="1">
        <v>184</v>
      </c>
      <c r="L60">
        <v>16</v>
      </c>
      <c r="M60">
        <f t="shared" si="3"/>
        <v>1</v>
      </c>
      <c r="N60">
        <f t="shared" si="4"/>
        <v>0</v>
      </c>
    </row>
    <row r="61" spans="1:14" x14ac:dyDescent="0.35">
      <c r="A61" s="1" t="s">
        <v>17</v>
      </c>
      <c r="B61">
        <f t="shared" si="1"/>
        <v>0</v>
      </c>
      <c r="C61">
        <f t="shared" si="2"/>
        <v>1</v>
      </c>
      <c r="D61" s="1">
        <v>4</v>
      </c>
      <c r="E61" s="1">
        <v>4</v>
      </c>
      <c r="F61">
        <f t="shared" si="5"/>
        <v>10404</v>
      </c>
      <c r="G61" s="1">
        <v>1400</v>
      </c>
      <c r="H61" s="1">
        <v>1338</v>
      </c>
      <c r="K61" s="1">
        <v>240</v>
      </c>
      <c r="L61">
        <v>16</v>
      </c>
      <c r="M61">
        <f t="shared" si="3"/>
        <v>1</v>
      </c>
      <c r="N61">
        <f t="shared" si="4"/>
        <v>0</v>
      </c>
    </row>
    <row r="62" spans="1:14" x14ac:dyDescent="0.35">
      <c r="A62" s="1" t="s">
        <v>17</v>
      </c>
      <c r="B62">
        <f t="shared" si="1"/>
        <v>0</v>
      </c>
      <c r="C62">
        <f t="shared" si="2"/>
        <v>1</v>
      </c>
      <c r="D62" s="1">
        <v>4</v>
      </c>
      <c r="E62" s="1">
        <v>8</v>
      </c>
      <c r="F62">
        <f t="shared" si="5"/>
        <v>10408</v>
      </c>
      <c r="G62" s="1">
        <v>2048</v>
      </c>
      <c r="H62" s="1">
        <v>1986</v>
      </c>
      <c r="K62" s="1">
        <v>480</v>
      </c>
      <c r="L62">
        <v>16</v>
      </c>
      <c r="M62">
        <f t="shared" si="3"/>
        <v>1</v>
      </c>
      <c r="N62">
        <f t="shared" si="4"/>
        <v>0</v>
      </c>
    </row>
    <row r="63" spans="1:14" x14ac:dyDescent="0.35">
      <c r="A63" s="1" t="s">
        <v>17</v>
      </c>
      <c r="B63">
        <f t="shared" si="1"/>
        <v>0</v>
      </c>
      <c r="C63">
        <f t="shared" si="2"/>
        <v>1</v>
      </c>
      <c r="D63" s="1">
        <v>4</v>
      </c>
      <c r="E63" s="1">
        <v>16</v>
      </c>
      <c r="F63">
        <f t="shared" si="5"/>
        <v>10416</v>
      </c>
      <c r="G63" s="1">
        <v>3352</v>
      </c>
      <c r="H63" s="1">
        <v>3271</v>
      </c>
      <c r="K63" s="1">
        <v>960</v>
      </c>
      <c r="L63">
        <v>16</v>
      </c>
      <c r="M63">
        <f t="shared" si="3"/>
        <v>1</v>
      </c>
      <c r="N63">
        <f t="shared" si="4"/>
        <v>0</v>
      </c>
    </row>
    <row r="64" spans="1:14" x14ac:dyDescent="0.35">
      <c r="A64" s="1" t="s">
        <v>17</v>
      </c>
      <c r="B64">
        <f t="shared" si="1"/>
        <v>0</v>
      </c>
      <c r="C64">
        <f t="shared" si="2"/>
        <v>1</v>
      </c>
      <c r="D64" s="1">
        <v>4</v>
      </c>
      <c r="E64" s="1">
        <v>32</v>
      </c>
      <c r="F64">
        <f t="shared" si="5"/>
        <v>10432</v>
      </c>
      <c r="G64" s="1">
        <v>5960</v>
      </c>
      <c r="H64" s="1">
        <v>5882</v>
      </c>
      <c r="K64" s="1">
        <v>1920</v>
      </c>
      <c r="L64">
        <v>16</v>
      </c>
      <c r="M64">
        <f t="shared" si="3"/>
        <v>1</v>
      </c>
      <c r="N64">
        <f t="shared" si="4"/>
        <v>0</v>
      </c>
    </row>
    <row r="65" spans="1:14" x14ac:dyDescent="0.35">
      <c r="A65" s="1" t="s">
        <v>17</v>
      </c>
      <c r="B65">
        <f t="shared" si="1"/>
        <v>0</v>
      </c>
      <c r="C65">
        <f t="shared" si="2"/>
        <v>1</v>
      </c>
      <c r="D65" s="1">
        <v>4</v>
      </c>
      <c r="E65" s="1">
        <v>64</v>
      </c>
      <c r="F65">
        <f t="shared" si="5"/>
        <v>10464</v>
      </c>
      <c r="G65" s="1">
        <v>11267</v>
      </c>
      <c r="H65" s="1">
        <v>11002</v>
      </c>
      <c r="K65" s="1">
        <v>3840</v>
      </c>
      <c r="L65">
        <v>16</v>
      </c>
      <c r="M65">
        <f t="shared" si="3"/>
        <v>1</v>
      </c>
      <c r="N65">
        <f t="shared" si="4"/>
        <v>0</v>
      </c>
    </row>
    <row r="66" spans="1:14" x14ac:dyDescent="0.35">
      <c r="A66" s="1" t="s">
        <v>17</v>
      </c>
      <c r="B66">
        <f t="shared" si="1"/>
        <v>0</v>
      </c>
      <c r="C66">
        <f t="shared" si="2"/>
        <v>1</v>
      </c>
      <c r="D66" s="1">
        <v>6</v>
      </c>
      <c r="E66" s="1">
        <v>1</v>
      </c>
      <c r="F66">
        <f t="shared" ref="F66:F97" si="6">10000*(2*B66+C66)+100*D66+E66</f>
        <v>10601</v>
      </c>
      <c r="G66" s="1">
        <v>1122</v>
      </c>
      <c r="H66" s="1">
        <v>1041</v>
      </c>
      <c r="I66" s="1">
        <v>798</v>
      </c>
      <c r="J66" s="1">
        <v>759</v>
      </c>
      <c r="K66" s="1">
        <v>234</v>
      </c>
      <c r="L66">
        <v>24</v>
      </c>
      <c r="M66">
        <f t="shared" si="3"/>
        <v>1</v>
      </c>
      <c r="N66">
        <f t="shared" si="4"/>
        <v>1</v>
      </c>
    </row>
    <row r="67" spans="1:14" x14ac:dyDescent="0.35">
      <c r="A67" s="1" t="s">
        <v>17</v>
      </c>
      <c r="B67">
        <f t="shared" si="1"/>
        <v>0</v>
      </c>
      <c r="C67">
        <f t="shared" si="2"/>
        <v>1</v>
      </c>
      <c r="D67" s="1">
        <v>6</v>
      </c>
      <c r="E67" s="1">
        <v>2</v>
      </c>
      <c r="F67">
        <f t="shared" si="6"/>
        <v>10602</v>
      </c>
      <c r="G67" s="1">
        <v>1497</v>
      </c>
      <c r="H67" s="1">
        <v>1410</v>
      </c>
      <c r="K67" s="1">
        <v>276</v>
      </c>
      <c r="L67">
        <v>24</v>
      </c>
      <c r="M67">
        <f t="shared" ref="M67:M130" si="7">IF(G67&gt;0,1,0)</f>
        <v>1</v>
      </c>
      <c r="N67">
        <f t="shared" ref="N67:N130" si="8">IF(I67&gt;0,1,0)</f>
        <v>0</v>
      </c>
    </row>
    <row r="68" spans="1:14" x14ac:dyDescent="0.35">
      <c r="A68" s="1" t="s">
        <v>17</v>
      </c>
      <c r="B68">
        <f t="shared" ref="B68:B135" si="9">IF(OR(A68="4T4R",A68="4T4R_LS"),0,1)</f>
        <v>0</v>
      </c>
      <c r="C68">
        <f t="shared" ref="C68:C135" si="10">IF(OR(A68="8T8R_LS",A68="4T4R_LS"),1,0)</f>
        <v>1</v>
      </c>
      <c r="D68" s="1">
        <v>6</v>
      </c>
      <c r="E68" s="1">
        <v>4</v>
      </c>
      <c r="F68">
        <f t="shared" si="6"/>
        <v>10604</v>
      </c>
      <c r="G68" s="1">
        <v>1930</v>
      </c>
      <c r="H68" s="1">
        <v>1842</v>
      </c>
      <c r="K68" s="1">
        <v>360</v>
      </c>
      <c r="L68">
        <v>24</v>
      </c>
      <c r="M68">
        <f t="shared" si="7"/>
        <v>1</v>
      </c>
      <c r="N68">
        <f t="shared" si="8"/>
        <v>0</v>
      </c>
    </row>
    <row r="69" spans="1:14" x14ac:dyDescent="0.35">
      <c r="A69" s="1" t="s">
        <v>17</v>
      </c>
      <c r="B69">
        <f t="shared" si="9"/>
        <v>0</v>
      </c>
      <c r="C69">
        <f t="shared" si="10"/>
        <v>1</v>
      </c>
      <c r="D69" s="1">
        <v>6</v>
      </c>
      <c r="E69" s="1">
        <v>8</v>
      </c>
      <c r="F69">
        <f t="shared" si="6"/>
        <v>10608</v>
      </c>
      <c r="G69" s="1">
        <v>2909</v>
      </c>
      <c r="H69" s="1">
        <v>2814</v>
      </c>
      <c r="K69" s="1">
        <v>720</v>
      </c>
      <c r="L69">
        <v>24</v>
      </c>
      <c r="M69">
        <f t="shared" si="7"/>
        <v>1</v>
      </c>
      <c r="N69">
        <f t="shared" si="8"/>
        <v>0</v>
      </c>
    </row>
    <row r="70" spans="1:14" x14ac:dyDescent="0.35">
      <c r="A70" s="1" t="s">
        <v>17</v>
      </c>
      <c r="B70">
        <f t="shared" si="9"/>
        <v>0</v>
      </c>
      <c r="C70">
        <f t="shared" si="10"/>
        <v>1</v>
      </c>
      <c r="D70" s="1">
        <v>6</v>
      </c>
      <c r="E70" s="1">
        <v>16</v>
      </c>
      <c r="F70">
        <f t="shared" si="6"/>
        <v>10616</v>
      </c>
      <c r="G70" s="1">
        <v>4856</v>
      </c>
      <c r="H70" s="1">
        <v>4782</v>
      </c>
      <c r="K70" s="1">
        <v>1440</v>
      </c>
      <c r="L70">
        <v>24</v>
      </c>
      <c r="M70">
        <f t="shared" si="7"/>
        <v>1</v>
      </c>
      <c r="N70">
        <f t="shared" si="8"/>
        <v>0</v>
      </c>
    </row>
    <row r="71" spans="1:14" x14ac:dyDescent="0.35">
      <c r="A71" s="1" t="s">
        <v>17</v>
      </c>
      <c r="B71">
        <f t="shared" si="9"/>
        <v>0</v>
      </c>
      <c r="C71">
        <f t="shared" si="10"/>
        <v>1</v>
      </c>
      <c r="D71" s="1">
        <v>6</v>
      </c>
      <c r="E71" s="1">
        <v>32</v>
      </c>
      <c r="F71">
        <f t="shared" si="6"/>
        <v>10632</v>
      </c>
      <c r="G71" s="1">
        <v>8835</v>
      </c>
      <c r="H71" s="1">
        <v>8704</v>
      </c>
      <c r="K71" s="1">
        <v>2880</v>
      </c>
      <c r="L71">
        <v>24</v>
      </c>
      <c r="M71">
        <f t="shared" si="7"/>
        <v>1</v>
      </c>
      <c r="N71">
        <f t="shared" si="8"/>
        <v>0</v>
      </c>
    </row>
    <row r="72" spans="1:14" x14ac:dyDescent="0.35">
      <c r="A72" s="1" t="s">
        <v>17</v>
      </c>
      <c r="B72">
        <f t="shared" si="9"/>
        <v>0</v>
      </c>
      <c r="C72">
        <f t="shared" si="10"/>
        <v>1</v>
      </c>
      <c r="D72" s="1">
        <v>6</v>
      </c>
      <c r="E72" s="1">
        <v>64</v>
      </c>
      <c r="F72">
        <f t="shared" si="6"/>
        <v>10664</v>
      </c>
      <c r="G72" s="1">
        <v>16515</v>
      </c>
      <c r="H72" s="1">
        <v>16505</v>
      </c>
      <c r="K72" s="1">
        <v>5760</v>
      </c>
      <c r="L72">
        <v>24</v>
      </c>
      <c r="M72">
        <f t="shared" si="7"/>
        <v>1</v>
      </c>
      <c r="N72">
        <f t="shared" si="8"/>
        <v>0</v>
      </c>
    </row>
    <row r="73" spans="1:14" x14ac:dyDescent="0.35">
      <c r="A73" s="1" t="s">
        <v>17</v>
      </c>
      <c r="B73">
        <f t="shared" si="9"/>
        <v>0</v>
      </c>
      <c r="C73">
        <f t="shared" si="10"/>
        <v>1</v>
      </c>
      <c r="D73" s="1">
        <v>12</v>
      </c>
      <c r="E73" s="1">
        <v>1</v>
      </c>
      <c r="F73">
        <f t="shared" si="6"/>
        <v>11201</v>
      </c>
      <c r="G73" s="1">
        <v>1516</v>
      </c>
      <c r="H73" s="1">
        <v>1434</v>
      </c>
      <c r="I73" s="1">
        <v>1192</v>
      </c>
      <c r="J73" s="1">
        <v>1152</v>
      </c>
      <c r="K73" s="1">
        <v>276</v>
      </c>
      <c r="L73">
        <v>24</v>
      </c>
      <c r="M73">
        <f t="shared" si="7"/>
        <v>1</v>
      </c>
      <c r="N73">
        <f t="shared" si="8"/>
        <v>1</v>
      </c>
    </row>
    <row r="74" spans="1:14" x14ac:dyDescent="0.35">
      <c r="A74" s="1" t="s">
        <v>17</v>
      </c>
      <c r="B74">
        <f t="shared" si="9"/>
        <v>0</v>
      </c>
      <c r="C74">
        <f t="shared" si="10"/>
        <v>1</v>
      </c>
      <c r="D74" s="1">
        <v>12</v>
      </c>
      <c r="E74" s="1">
        <v>2</v>
      </c>
      <c r="F74">
        <f t="shared" si="6"/>
        <v>11202</v>
      </c>
      <c r="G74" s="1">
        <v>2085</v>
      </c>
      <c r="H74" s="1">
        <v>2011</v>
      </c>
      <c r="K74" s="1">
        <v>360</v>
      </c>
      <c r="L74">
        <v>24</v>
      </c>
      <c r="M74">
        <f t="shared" si="7"/>
        <v>1</v>
      </c>
      <c r="N74">
        <f t="shared" si="8"/>
        <v>0</v>
      </c>
    </row>
    <row r="75" spans="1:14" x14ac:dyDescent="0.35">
      <c r="A75" s="1" t="s">
        <v>17</v>
      </c>
      <c r="B75">
        <f t="shared" si="9"/>
        <v>0</v>
      </c>
      <c r="C75">
        <f t="shared" si="10"/>
        <v>1</v>
      </c>
      <c r="D75" s="1">
        <v>12</v>
      </c>
      <c r="E75" s="1">
        <v>4</v>
      </c>
      <c r="F75">
        <f t="shared" si="6"/>
        <v>11204</v>
      </c>
      <c r="G75" s="1">
        <v>3104</v>
      </c>
      <c r="H75" s="1">
        <v>3030</v>
      </c>
      <c r="K75" s="1">
        <v>720</v>
      </c>
      <c r="L75">
        <v>24</v>
      </c>
      <c r="M75">
        <f t="shared" si="7"/>
        <v>1</v>
      </c>
      <c r="N75">
        <f t="shared" si="8"/>
        <v>0</v>
      </c>
    </row>
    <row r="76" spans="1:14" x14ac:dyDescent="0.35">
      <c r="A76" s="1" t="s">
        <v>17</v>
      </c>
      <c r="B76">
        <f t="shared" si="9"/>
        <v>0</v>
      </c>
      <c r="C76">
        <f t="shared" si="10"/>
        <v>1</v>
      </c>
      <c r="D76" s="1">
        <v>12</v>
      </c>
      <c r="E76" s="1">
        <v>8</v>
      </c>
      <c r="F76">
        <f t="shared" si="6"/>
        <v>11208</v>
      </c>
      <c r="G76" s="1">
        <v>5091</v>
      </c>
      <c r="H76" s="1">
        <v>4974</v>
      </c>
      <c r="K76" s="1">
        <v>1440</v>
      </c>
      <c r="L76">
        <v>24</v>
      </c>
      <c r="M76">
        <f t="shared" si="7"/>
        <v>1</v>
      </c>
      <c r="N76">
        <f t="shared" si="8"/>
        <v>0</v>
      </c>
    </row>
    <row r="77" spans="1:14" x14ac:dyDescent="0.35">
      <c r="A77" s="1" t="s">
        <v>17</v>
      </c>
      <c r="B77">
        <f t="shared" si="9"/>
        <v>0</v>
      </c>
      <c r="C77">
        <f t="shared" si="10"/>
        <v>1</v>
      </c>
      <c r="D77" s="1">
        <v>12</v>
      </c>
      <c r="E77" s="1">
        <v>16</v>
      </c>
      <c r="F77">
        <f t="shared" si="6"/>
        <v>11216</v>
      </c>
      <c r="G77" s="1">
        <v>9026</v>
      </c>
      <c r="H77" s="1">
        <v>8854</v>
      </c>
      <c r="K77" s="1">
        <v>2880</v>
      </c>
      <c r="L77">
        <v>24</v>
      </c>
      <c r="M77">
        <f t="shared" si="7"/>
        <v>1</v>
      </c>
      <c r="N77">
        <f t="shared" si="8"/>
        <v>0</v>
      </c>
    </row>
    <row r="78" spans="1:14" x14ac:dyDescent="0.35">
      <c r="A78" s="1" t="s">
        <v>17</v>
      </c>
      <c r="B78">
        <f t="shared" si="9"/>
        <v>0</v>
      </c>
      <c r="C78">
        <f t="shared" si="10"/>
        <v>1</v>
      </c>
      <c r="D78" s="1">
        <v>12</v>
      </c>
      <c r="E78" s="1">
        <v>32</v>
      </c>
      <c r="F78">
        <f t="shared" si="6"/>
        <v>11232</v>
      </c>
      <c r="G78" s="1">
        <v>16128</v>
      </c>
      <c r="H78" s="1">
        <v>16768</v>
      </c>
      <c r="K78" s="1">
        <v>5760</v>
      </c>
      <c r="L78">
        <v>24</v>
      </c>
      <c r="M78">
        <f t="shared" si="7"/>
        <v>1</v>
      </c>
      <c r="N78">
        <f t="shared" si="8"/>
        <v>0</v>
      </c>
    </row>
    <row r="79" spans="1:14" x14ac:dyDescent="0.35">
      <c r="A79" s="1" t="s">
        <v>17</v>
      </c>
      <c r="B79">
        <f t="shared" si="9"/>
        <v>0</v>
      </c>
      <c r="C79">
        <f t="shared" si="10"/>
        <v>1</v>
      </c>
      <c r="D79" s="1">
        <v>12</v>
      </c>
      <c r="E79" s="1">
        <v>64</v>
      </c>
      <c r="F79">
        <f t="shared" si="6"/>
        <v>11264</v>
      </c>
      <c r="G79" s="1">
        <v>33027</v>
      </c>
      <c r="H79" s="1">
        <v>32374</v>
      </c>
      <c r="K79" s="1">
        <v>11520</v>
      </c>
      <c r="L79">
        <v>24</v>
      </c>
      <c r="M79">
        <f t="shared" si="7"/>
        <v>1</v>
      </c>
      <c r="N79">
        <f t="shared" si="8"/>
        <v>0</v>
      </c>
    </row>
    <row r="80" spans="1:14" x14ac:dyDescent="0.35">
      <c r="A80" s="1" t="s">
        <v>18</v>
      </c>
      <c r="B80">
        <f t="shared" si="9"/>
        <v>1</v>
      </c>
      <c r="C80">
        <f t="shared" si="10"/>
        <v>0</v>
      </c>
      <c r="D80" s="1">
        <v>1</v>
      </c>
      <c r="E80" s="1">
        <v>1</v>
      </c>
      <c r="F80">
        <f t="shared" si="6"/>
        <v>20101</v>
      </c>
      <c r="G80" s="1" t="s">
        <v>162</v>
      </c>
      <c r="H80" s="1" t="s">
        <v>162</v>
      </c>
      <c r="I80">
        <v>32</v>
      </c>
      <c r="J80">
        <v>32</v>
      </c>
      <c r="K80" s="1"/>
      <c r="L80">
        <v>4</v>
      </c>
      <c r="M80">
        <f t="shared" si="7"/>
        <v>1</v>
      </c>
      <c r="N80">
        <f t="shared" si="8"/>
        <v>1</v>
      </c>
    </row>
    <row r="81" spans="1:14" x14ac:dyDescent="0.35">
      <c r="A81" t="s">
        <v>18</v>
      </c>
      <c r="B81">
        <f t="shared" si="9"/>
        <v>1</v>
      </c>
      <c r="C81">
        <f t="shared" si="10"/>
        <v>0</v>
      </c>
      <c r="D81">
        <v>2</v>
      </c>
      <c r="E81">
        <v>1</v>
      </c>
      <c r="F81">
        <f t="shared" si="6"/>
        <v>20201</v>
      </c>
      <c r="G81" s="1">
        <v>489</v>
      </c>
      <c r="H81" s="1">
        <v>465</v>
      </c>
      <c r="I81" s="1">
        <v>385</v>
      </c>
      <c r="J81" s="1">
        <v>363</v>
      </c>
      <c r="K81">
        <v>78</v>
      </c>
      <c r="L81">
        <v>8</v>
      </c>
      <c r="M81">
        <f t="shared" si="7"/>
        <v>1</v>
      </c>
      <c r="N81">
        <f t="shared" si="8"/>
        <v>1</v>
      </c>
    </row>
    <row r="82" spans="1:14" x14ac:dyDescent="0.35">
      <c r="A82" t="s">
        <v>18</v>
      </c>
      <c r="B82">
        <f t="shared" si="9"/>
        <v>1</v>
      </c>
      <c r="C82">
        <f t="shared" si="10"/>
        <v>0</v>
      </c>
      <c r="D82">
        <v>2</v>
      </c>
      <c r="E82">
        <v>2</v>
      </c>
      <c r="F82">
        <f t="shared" si="6"/>
        <v>20202</v>
      </c>
      <c r="G82">
        <v>624</v>
      </c>
      <c r="H82">
        <v>588</v>
      </c>
      <c r="K82">
        <v>92</v>
      </c>
      <c r="L82">
        <v>8</v>
      </c>
      <c r="M82">
        <f t="shared" si="7"/>
        <v>1</v>
      </c>
      <c r="N82">
        <f t="shared" si="8"/>
        <v>0</v>
      </c>
    </row>
    <row r="83" spans="1:14" x14ac:dyDescent="0.35">
      <c r="A83" t="s">
        <v>18</v>
      </c>
      <c r="B83">
        <f t="shared" si="9"/>
        <v>1</v>
      </c>
      <c r="C83">
        <f t="shared" si="10"/>
        <v>0</v>
      </c>
      <c r="D83">
        <v>2</v>
      </c>
      <c r="E83">
        <v>4</v>
      </c>
      <c r="F83">
        <f t="shared" si="6"/>
        <v>20204</v>
      </c>
      <c r="G83">
        <v>759</v>
      </c>
      <c r="H83">
        <v>711</v>
      </c>
      <c r="K83">
        <v>120</v>
      </c>
      <c r="L83">
        <v>8</v>
      </c>
      <c r="M83">
        <f t="shared" si="7"/>
        <v>1</v>
      </c>
      <c r="N83">
        <f t="shared" si="8"/>
        <v>0</v>
      </c>
    </row>
    <row r="84" spans="1:14" x14ac:dyDescent="0.35">
      <c r="A84" t="s">
        <v>18</v>
      </c>
      <c r="B84">
        <f t="shared" si="9"/>
        <v>1</v>
      </c>
      <c r="C84">
        <f t="shared" si="10"/>
        <v>0</v>
      </c>
      <c r="D84">
        <v>2</v>
      </c>
      <c r="E84">
        <v>8</v>
      </c>
      <c r="F84">
        <f t="shared" si="6"/>
        <v>20208</v>
      </c>
      <c r="G84">
        <v>1082</v>
      </c>
      <c r="H84">
        <v>1034</v>
      </c>
      <c r="I84" s="1"/>
      <c r="K84">
        <v>240</v>
      </c>
      <c r="L84">
        <v>8</v>
      </c>
      <c r="M84">
        <f t="shared" si="7"/>
        <v>1</v>
      </c>
      <c r="N84">
        <f t="shared" si="8"/>
        <v>0</v>
      </c>
    </row>
    <row r="85" spans="1:14" x14ac:dyDescent="0.35">
      <c r="A85" t="s">
        <v>18</v>
      </c>
      <c r="B85">
        <f t="shared" si="9"/>
        <v>1</v>
      </c>
      <c r="C85">
        <f t="shared" si="10"/>
        <v>0</v>
      </c>
      <c r="D85">
        <v>2</v>
      </c>
      <c r="E85">
        <v>16</v>
      </c>
      <c r="F85">
        <f t="shared" si="6"/>
        <v>20216</v>
      </c>
      <c r="G85">
        <v>1735</v>
      </c>
      <c r="H85">
        <v>1684</v>
      </c>
      <c r="I85" s="1"/>
      <c r="K85">
        <v>480</v>
      </c>
      <c r="L85">
        <v>8</v>
      </c>
      <c r="M85">
        <f t="shared" si="7"/>
        <v>1</v>
      </c>
      <c r="N85">
        <f t="shared" si="8"/>
        <v>0</v>
      </c>
    </row>
    <row r="86" spans="1:14" x14ac:dyDescent="0.35">
      <c r="A86" t="s">
        <v>18</v>
      </c>
      <c r="B86">
        <f t="shared" si="9"/>
        <v>1</v>
      </c>
      <c r="C86">
        <f t="shared" si="10"/>
        <v>0</v>
      </c>
      <c r="D86">
        <v>2</v>
      </c>
      <c r="E86">
        <v>32</v>
      </c>
      <c r="F86">
        <f t="shared" si="6"/>
        <v>20232</v>
      </c>
      <c r="G86">
        <v>3037</v>
      </c>
      <c r="H86">
        <v>2988</v>
      </c>
      <c r="I86" s="1"/>
      <c r="K86">
        <v>960</v>
      </c>
      <c r="L86">
        <v>8</v>
      </c>
      <c r="M86">
        <f t="shared" si="7"/>
        <v>1</v>
      </c>
      <c r="N86">
        <f t="shared" si="8"/>
        <v>0</v>
      </c>
    </row>
    <row r="87" spans="1:14" x14ac:dyDescent="0.35">
      <c r="A87" t="s">
        <v>18</v>
      </c>
      <c r="B87">
        <f t="shared" si="9"/>
        <v>1</v>
      </c>
      <c r="C87">
        <f t="shared" si="10"/>
        <v>0</v>
      </c>
      <c r="D87">
        <v>2</v>
      </c>
      <c r="E87">
        <v>64</v>
      </c>
      <c r="F87">
        <f t="shared" si="6"/>
        <v>20264</v>
      </c>
      <c r="G87">
        <v>5648</v>
      </c>
      <c r="H87">
        <v>5639</v>
      </c>
      <c r="I87" s="1"/>
      <c r="K87">
        <v>1920</v>
      </c>
      <c r="L87">
        <v>8</v>
      </c>
      <c r="M87">
        <f t="shared" si="7"/>
        <v>1</v>
      </c>
      <c r="N87">
        <f t="shared" si="8"/>
        <v>0</v>
      </c>
    </row>
    <row r="88" spans="1:14" x14ac:dyDescent="0.35">
      <c r="A88" t="s">
        <v>18</v>
      </c>
      <c r="B88">
        <f t="shared" si="9"/>
        <v>1</v>
      </c>
      <c r="C88">
        <f t="shared" si="10"/>
        <v>0</v>
      </c>
      <c r="D88">
        <v>3</v>
      </c>
      <c r="E88">
        <v>1</v>
      </c>
      <c r="F88">
        <f t="shared" si="6"/>
        <v>20301</v>
      </c>
      <c r="G88">
        <v>547</v>
      </c>
      <c r="H88">
        <v>519</v>
      </c>
      <c r="I88" s="1">
        <v>391</v>
      </c>
      <c r="J88" s="1">
        <v>363</v>
      </c>
      <c r="K88">
        <v>117</v>
      </c>
      <c r="L88">
        <v>12</v>
      </c>
      <c r="M88">
        <f t="shared" si="7"/>
        <v>1</v>
      </c>
      <c r="N88">
        <f t="shared" si="8"/>
        <v>1</v>
      </c>
    </row>
    <row r="89" spans="1:14" x14ac:dyDescent="0.35">
      <c r="A89" t="s">
        <v>18</v>
      </c>
      <c r="B89">
        <f t="shared" si="9"/>
        <v>1</v>
      </c>
      <c r="C89">
        <f t="shared" si="10"/>
        <v>0</v>
      </c>
      <c r="D89">
        <v>3</v>
      </c>
      <c r="E89">
        <v>2</v>
      </c>
      <c r="F89">
        <f t="shared" si="6"/>
        <v>20302</v>
      </c>
      <c r="G89">
        <v>732</v>
      </c>
      <c r="H89">
        <v>675</v>
      </c>
      <c r="I89" s="1"/>
      <c r="K89">
        <v>138</v>
      </c>
      <c r="L89">
        <v>12</v>
      </c>
      <c r="M89">
        <f t="shared" si="7"/>
        <v>1</v>
      </c>
      <c r="N89">
        <f t="shared" si="8"/>
        <v>0</v>
      </c>
    </row>
    <row r="90" spans="1:14" x14ac:dyDescent="0.35">
      <c r="A90" t="s">
        <v>18</v>
      </c>
      <c r="B90">
        <f t="shared" si="9"/>
        <v>1</v>
      </c>
      <c r="C90">
        <f t="shared" si="10"/>
        <v>0</v>
      </c>
      <c r="D90">
        <v>3</v>
      </c>
      <c r="E90">
        <v>4</v>
      </c>
      <c r="F90">
        <f t="shared" si="6"/>
        <v>20304</v>
      </c>
      <c r="G90">
        <v>950</v>
      </c>
      <c r="H90">
        <v>893</v>
      </c>
      <c r="K90">
        <v>180</v>
      </c>
      <c r="L90">
        <v>12</v>
      </c>
      <c r="M90">
        <f t="shared" si="7"/>
        <v>1</v>
      </c>
      <c r="N90">
        <f t="shared" si="8"/>
        <v>0</v>
      </c>
    </row>
    <row r="91" spans="1:14" x14ac:dyDescent="0.35">
      <c r="A91" t="s">
        <v>18</v>
      </c>
      <c r="B91">
        <f t="shared" si="9"/>
        <v>1</v>
      </c>
      <c r="C91">
        <f t="shared" si="10"/>
        <v>0</v>
      </c>
      <c r="D91">
        <v>3</v>
      </c>
      <c r="E91">
        <v>8</v>
      </c>
      <c r="F91">
        <f t="shared" si="6"/>
        <v>20308</v>
      </c>
      <c r="G91">
        <v>1440</v>
      </c>
      <c r="H91">
        <v>1379</v>
      </c>
      <c r="K91">
        <v>360</v>
      </c>
      <c r="L91">
        <v>12</v>
      </c>
      <c r="M91">
        <f t="shared" si="7"/>
        <v>1</v>
      </c>
      <c r="N91">
        <f t="shared" si="8"/>
        <v>0</v>
      </c>
    </row>
    <row r="92" spans="1:14" x14ac:dyDescent="0.35">
      <c r="A92" t="s">
        <v>18</v>
      </c>
      <c r="B92">
        <f t="shared" si="9"/>
        <v>1</v>
      </c>
      <c r="C92">
        <f t="shared" si="10"/>
        <v>0</v>
      </c>
      <c r="D92">
        <v>3</v>
      </c>
      <c r="E92">
        <v>16</v>
      </c>
      <c r="F92">
        <f t="shared" si="6"/>
        <v>20316</v>
      </c>
      <c r="G92">
        <v>2407</v>
      </c>
      <c r="H92">
        <v>2359</v>
      </c>
      <c r="K92">
        <v>720</v>
      </c>
      <c r="L92">
        <v>12</v>
      </c>
      <c r="M92">
        <f t="shared" si="7"/>
        <v>1</v>
      </c>
      <c r="N92">
        <f t="shared" si="8"/>
        <v>0</v>
      </c>
    </row>
    <row r="93" spans="1:14" x14ac:dyDescent="0.35">
      <c r="A93" t="s">
        <v>18</v>
      </c>
      <c r="B93">
        <f t="shared" si="9"/>
        <v>1</v>
      </c>
      <c r="C93">
        <f t="shared" si="10"/>
        <v>0</v>
      </c>
      <c r="D93">
        <v>3</v>
      </c>
      <c r="E93">
        <v>32</v>
      </c>
      <c r="F93">
        <f t="shared" si="6"/>
        <v>20332</v>
      </c>
      <c r="G93">
        <v>4372</v>
      </c>
      <c r="H93">
        <v>4327</v>
      </c>
      <c r="K93">
        <v>1440</v>
      </c>
      <c r="L93">
        <v>12</v>
      </c>
      <c r="M93">
        <f t="shared" si="7"/>
        <v>1</v>
      </c>
      <c r="N93">
        <f t="shared" si="8"/>
        <v>0</v>
      </c>
    </row>
    <row r="94" spans="1:14" x14ac:dyDescent="0.35">
      <c r="A94" t="s">
        <v>18</v>
      </c>
      <c r="B94">
        <f t="shared" si="9"/>
        <v>1</v>
      </c>
      <c r="C94">
        <f t="shared" si="10"/>
        <v>0</v>
      </c>
      <c r="D94">
        <v>3</v>
      </c>
      <c r="E94">
        <v>64</v>
      </c>
      <c r="F94">
        <f t="shared" si="6"/>
        <v>20364</v>
      </c>
      <c r="G94">
        <v>8272</v>
      </c>
      <c r="H94">
        <v>8263</v>
      </c>
      <c r="K94">
        <v>2880</v>
      </c>
      <c r="L94">
        <v>12</v>
      </c>
      <c r="M94">
        <f t="shared" si="7"/>
        <v>1</v>
      </c>
      <c r="N94">
        <f t="shared" si="8"/>
        <v>0</v>
      </c>
    </row>
    <row r="95" spans="1:14" x14ac:dyDescent="0.35">
      <c r="A95" t="s">
        <v>18</v>
      </c>
      <c r="B95">
        <f t="shared" si="9"/>
        <v>1</v>
      </c>
      <c r="C95">
        <f t="shared" si="10"/>
        <v>0</v>
      </c>
      <c r="D95">
        <v>4</v>
      </c>
      <c r="E95">
        <v>1</v>
      </c>
      <c r="F95">
        <f t="shared" si="6"/>
        <v>20401</v>
      </c>
      <c r="G95">
        <v>766</v>
      </c>
      <c r="H95">
        <v>734</v>
      </c>
      <c r="I95" s="1">
        <v>558</v>
      </c>
      <c r="J95" s="1">
        <v>526</v>
      </c>
      <c r="K95">
        <v>156</v>
      </c>
      <c r="L95">
        <v>16</v>
      </c>
      <c r="M95">
        <f t="shared" si="7"/>
        <v>1</v>
      </c>
      <c r="N95">
        <f t="shared" si="8"/>
        <v>1</v>
      </c>
    </row>
    <row r="96" spans="1:14" x14ac:dyDescent="0.35">
      <c r="A96" t="s">
        <v>18</v>
      </c>
      <c r="B96">
        <f t="shared" si="9"/>
        <v>1</v>
      </c>
      <c r="C96">
        <f t="shared" si="10"/>
        <v>0</v>
      </c>
      <c r="D96">
        <v>4</v>
      </c>
      <c r="E96">
        <v>2</v>
      </c>
      <c r="F96">
        <f t="shared" si="6"/>
        <v>20402</v>
      </c>
      <c r="G96">
        <v>1013</v>
      </c>
      <c r="H96">
        <v>948</v>
      </c>
      <c r="K96">
        <v>184</v>
      </c>
      <c r="L96">
        <v>16</v>
      </c>
      <c r="M96">
        <f t="shared" si="7"/>
        <v>1</v>
      </c>
      <c r="N96">
        <f t="shared" si="8"/>
        <v>0</v>
      </c>
    </row>
    <row r="97" spans="1:14" x14ac:dyDescent="0.35">
      <c r="A97" t="s">
        <v>18</v>
      </c>
      <c r="B97">
        <f t="shared" si="9"/>
        <v>1</v>
      </c>
      <c r="C97">
        <f t="shared" si="10"/>
        <v>0</v>
      </c>
      <c r="D97">
        <v>4</v>
      </c>
      <c r="E97">
        <v>4</v>
      </c>
      <c r="F97">
        <f t="shared" si="6"/>
        <v>20404</v>
      </c>
      <c r="G97">
        <v>1304</v>
      </c>
      <c r="H97">
        <v>1240</v>
      </c>
      <c r="K97">
        <v>240</v>
      </c>
      <c r="L97">
        <v>16</v>
      </c>
      <c r="M97">
        <f t="shared" si="7"/>
        <v>1</v>
      </c>
      <c r="N97">
        <f t="shared" si="8"/>
        <v>0</v>
      </c>
    </row>
    <row r="98" spans="1:14" x14ac:dyDescent="0.35">
      <c r="A98" t="s">
        <v>18</v>
      </c>
      <c r="B98">
        <f t="shared" si="9"/>
        <v>1</v>
      </c>
      <c r="C98">
        <f t="shared" si="10"/>
        <v>0</v>
      </c>
      <c r="D98">
        <v>4</v>
      </c>
      <c r="E98">
        <v>8</v>
      </c>
      <c r="F98">
        <f t="shared" ref="F98:F116" si="11">10000*(2*B98+C98)+100*D98+E98</f>
        <v>20408</v>
      </c>
      <c r="G98">
        <v>1954</v>
      </c>
      <c r="H98">
        <v>1890</v>
      </c>
      <c r="K98">
        <v>480</v>
      </c>
      <c r="L98">
        <v>16</v>
      </c>
      <c r="M98">
        <f t="shared" si="7"/>
        <v>1</v>
      </c>
      <c r="N98">
        <f t="shared" si="8"/>
        <v>0</v>
      </c>
    </row>
    <row r="99" spans="1:14" x14ac:dyDescent="0.35">
      <c r="A99" t="s">
        <v>18</v>
      </c>
      <c r="B99">
        <f t="shared" si="9"/>
        <v>1</v>
      </c>
      <c r="C99">
        <f t="shared" si="10"/>
        <v>0</v>
      </c>
      <c r="D99">
        <v>4</v>
      </c>
      <c r="E99">
        <v>16</v>
      </c>
      <c r="F99">
        <f t="shared" si="11"/>
        <v>20416</v>
      </c>
      <c r="G99">
        <v>3271</v>
      </c>
      <c r="H99">
        <v>3207</v>
      </c>
      <c r="K99">
        <v>960</v>
      </c>
      <c r="L99">
        <v>16</v>
      </c>
      <c r="M99">
        <f t="shared" si="7"/>
        <v>1</v>
      </c>
      <c r="N99">
        <f t="shared" si="8"/>
        <v>0</v>
      </c>
    </row>
    <row r="100" spans="1:14" x14ac:dyDescent="0.35">
      <c r="A100" t="s">
        <v>18</v>
      </c>
      <c r="B100">
        <f t="shared" si="9"/>
        <v>1</v>
      </c>
      <c r="C100">
        <f t="shared" si="10"/>
        <v>0</v>
      </c>
      <c r="D100">
        <v>4</v>
      </c>
      <c r="E100">
        <v>32</v>
      </c>
      <c r="F100">
        <f t="shared" si="11"/>
        <v>20432</v>
      </c>
      <c r="G100">
        <v>5895</v>
      </c>
      <c r="H100">
        <v>5767</v>
      </c>
      <c r="K100">
        <v>1920</v>
      </c>
      <c r="L100">
        <v>16</v>
      </c>
      <c r="M100">
        <f t="shared" si="7"/>
        <v>1</v>
      </c>
      <c r="N100">
        <f t="shared" si="8"/>
        <v>0</v>
      </c>
    </row>
    <row r="101" spans="1:14" x14ac:dyDescent="0.35">
      <c r="A101" t="s">
        <v>18</v>
      </c>
      <c r="B101">
        <f t="shared" si="9"/>
        <v>1</v>
      </c>
      <c r="C101">
        <f t="shared" si="10"/>
        <v>0</v>
      </c>
      <c r="D101">
        <v>4</v>
      </c>
      <c r="E101">
        <v>64</v>
      </c>
      <c r="F101">
        <f t="shared" si="11"/>
        <v>20464</v>
      </c>
      <c r="G101">
        <v>11024</v>
      </c>
      <c r="H101">
        <v>11015</v>
      </c>
      <c r="K101">
        <v>3840</v>
      </c>
      <c r="L101">
        <v>16</v>
      </c>
      <c r="M101">
        <f t="shared" si="7"/>
        <v>1</v>
      </c>
      <c r="N101">
        <f t="shared" si="8"/>
        <v>0</v>
      </c>
    </row>
    <row r="102" spans="1:14" x14ac:dyDescent="0.35">
      <c r="A102" t="s">
        <v>18</v>
      </c>
      <c r="B102">
        <f t="shared" si="9"/>
        <v>1</v>
      </c>
      <c r="C102">
        <f t="shared" si="10"/>
        <v>0</v>
      </c>
      <c r="D102">
        <v>6</v>
      </c>
      <c r="E102">
        <v>1</v>
      </c>
      <c r="F102">
        <f t="shared" si="11"/>
        <v>20601</v>
      </c>
      <c r="G102">
        <v>997</v>
      </c>
      <c r="H102">
        <v>917</v>
      </c>
      <c r="I102" s="1">
        <v>577</v>
      </c>
      <c r="J102" s="1">
        <v>593</v>
      </c>
      <c r="K102">
        <v>234</v>
      </c>
      <c r="L102">
        <v>24</v>
      </c>
      <c r="M102">
        <f t="shared" si="7"/>
        <v>1</v>
      </c>
      <c r="N102">
        <f t="shared" si="8"/>
        <v>1</v>
      </c>
    </row>
    <row r="103" spans="1:14" x14ac:dyDescent="0.35">
      <c r="A103" t="s">
        <v>18</v>
      </c>
      <c r="B103">
        <f t="shared" si="9"/>
        <v>1</v>
      </c>
      <c r="C103">
        <f t="shared" si="10"/>
        <v>0</v>
      </c>
      <c r="D103">
        <v>6</v>
      </c>
      <c r="E103">
        <v>2</v>
      </c>
      <c r="F103">
        <f t="shared" si="11"/>
        <v>20602</v>
      </c>
      <c r="G103">
        <v>1366</v>
      </c>
      <c r="H103">
        <v>1287</v>
      </c>
      <c r="K103">
        <v>276</v>
      </c>
      <c r="L103">
        <v>24</v>
      </c>
      <c r="M103">
        <f t="shared" si="7"/>
        <v>1</v>
      </c>
      <c r="N103">
        <f t="shared" si="8"/>
        <v>0</v>
      </c>
    </row>
    <row r="104" spans="1:14" x14ac:dyDescent="0.35">
      <c r="A104" t="s">
        <v>18</v>
      </c>
      <c r="B104">
        <f t="shared" si="9"/>
        <v>1</v>
      </c>
      <c r="C104">
        <f t="shared" si="10"/>
        <v>0</v>
      </c>
      <c r="D104">
        <v>6</v>
      </c>
      <c r="E104">
        <v>4</v>
      </c>
      <c r="F104">
        <f t="shared" si="11"/>
        <v>20604</v>
      </c>
      <c r="G104">
        <v>1804</v>
      </c>
      <c r="H104">
        <v>1728</v>
      </c>
      <c r="K104">
        <v>360</v>
      </c>
      <c r="L104">
        <v>24</v>
      </c>
      <c r="M104">
        <f t="shared" si="7"/>
        <v>1</v>
      </c>
      <c r="N104">
        <f t="shared" si="8"/>
        <v>0</v>
      </c>
    </row>
    <row r="105" spans="1:14" x14ac:dyDescent="0.35">
      <c r="A105" t="s">
        <v>18</v>
      </c>
      <c r="B105">
        <f t="shared" si="9"/>
        <v>1</v>
      </c>
      <c r="C105">
        <f t="shared" si="10"/>
        <v>0</v>
      </c>
      <c r="D105">
        <v>6</v>
      </c>
      <c r="E105">
        <v>8</v>
      </c>
      <c r="F105">
        <f t="shared" si="11"/>
        <v>20608</v>
      </c>
      <c r="G105">
        <v>2778</v>
      </c>
      <c r="H105">
        <v>2695</v>
      </c>
      <c r="K105">
        <v>720</v>
      </c>
      <c r="L105">
        <v>24</v>
      </c>
      <c r="M105">
        <f t="shared" si="7"/>
        <v>1</v>
      </c>
      <c r="N105">
        <f t="shared" si="8"/>
        <v>0</v>
      </c>
    </row>
    <row r="106" spans="1:14" x14ac:dyDescent="0.35">
      <c r="A106" t="s">
        <v>18</v>
      </c>
      <c r="B106">
        <f t="shared" si="9"/>
        <v>1</v>
      </c>
      <c r="C106">
        <f t="shared" si="10"/>
        <v>0</v>
      </c>
      <c r="D106">
        <v>6</v>
      </c>
      <c r="E106">
        <v>16</v>
      </c>
      <c r="F106">
        <f t="shared" si="11"/>
        <v>20616</v>
      </c>
      <c r="G106">
        <v>4711</v>
      </c>
      <c r="H106">
        <v>4653</v>
      </c>
      <c r="K106">
        <v>1440</v>
      </c>
      <c r="L106">
        <v>24</v>
      </c>
      <c r="M106">
        <f t="shared" si="7"/>
        <v>1</v>
      </c>
      <c r="N106">
        <f t="shared" si="8"/>
        <v>0</v>
      </c>
    </row>
    <row r="107" spans="1:14" x14ac:dyDescent="0.35">
      <c r="A107" t="s">
        <v>18</v>
      </c>
      <c r="B107">
        <f t="shared" si="9"/>
        <v>1</v>
      </c>
      <c r="C107">
        <f t="shared" si="10"/>
        <v>0</v>
      </c>
      <c r="D107">
        <v>6</v>
      </c>
      <c r="E107">
        <v>32</v>
      </c>
      <c r="F107">
        <f t="shared" si="11"/>
        <v>20632</v>
      </c>
      <c r="G107">
        <v>8647</v>
      </c>
      <c r="H107">
        <v>8564</v>
      </c>
      <c r="K107">
        <v>2880</v>
      </c>
      <c r="L107">
        <v>24</v>
      </c>
      <c r="M107">
        <f t="shared" si="7"/>
        <v>1</v>
      </c>
      <c r="N107">
        <f t="shared" si="8"/>
        <v>0</v>
      </c>
    </row>
    <row r="108" spans="1:14" x14ac:dyDescent="0.35">
      <c r="A108" t="s">
        <v>18</v>
      </c>
      <c r="B108">
        <f t="shared" si="9"/>
        <v>1</v>
      </c>
      <c r="C108">
        <f t="shared" si="10"/>
        <v>0</v>
      </c>
      <c r="D108">
        <v>6</v>
      </c>
      <c r="E108">
        <v>64</v>
      </c>
      <c r="F108">
        <f t="shared" si="11"/>
        <v>20664</v>
      </c>
      <c r="G108">
        <v>16528</v>
      </c>
      <c r="H108">
        <v>16519</v>
      </c>
      <c r="K108">
        <v>5760</v>
      </c>
      <c r="L108">
        <v>24</v>
      </c>
      <c r="M108">
        <f t="shared" si="7"/>
        <v>1</v>
      </c>
      <c r="N108">
        <f t="shared" si="8"/>
        <v>0</v>
      </c>
    </row>
    <row r="109" spans="1:14" x14ac:dyDescent="0.35">
      <c r="A109" t="s">
        <v>18</v>
      </c>
      <c r="B109">
        <f t="shared" si="9"/>
        <v>1</v>
      </c>
      <c r="C109">
        <f t="shared" si="10"/>
        <v>0</v>
      </c>
      <c r="D109">
        <v>12</v>
      </c>
      <c r="E109">
        <v>1</v>
      </c>
      <c r="F109">
        <f t="shared" si="11"/>
        <v>21201</v>
      </c>
      <c r="G109">
        <v>1270</v>
      </c>
      <c r="H109">
        <v>1190</v>
      </c>
      <c r="I109" s="1">
        <v>901</v>
      </c>
      <c r="J109" s="1">
        <v>878</v>
      </c>
      <c r="K109">
        <v>276</v>
      </c>
      <c r="L109">
        <v>24</v>
      </c>
      <c r="M109">
        <f t="shared" si="7"/>
        <v>1</v>
      </c>
      <c r="N109">
        <f t="shared" si="8"/>
        <v>1</v>
      </c>
    </row>
    <row r="110" spans="1:14" x14ac:dyDescent="0.35">
      <c r="A110" t="s">
        <v>18</v>
      </c>
      <c r="B110">
        <f t="shared" si="9"/>
        <v>1</v>
      </c>
      <c r="C110">
        <f t="shared" si="10"/>
        <v>0</v>
      </c>
      <c r="D110">
        <v>12</v>
      </c>
      <c r="E110">
        <v>2</v>
      </c>
      <c r="F110">
        <f t="shared" si="11"/>
        <v>21202</v>
      </c>
      <c r="G110">
        <v>1840</v>
      </c>
      <c r="H110">
        <v>1760</v>
      </c>
      <c r="K110">
        <v>360</v>
      </c>
      <c r="L110">
        <v>24</v>
      </c>
      <c r="M110">
        <f t="shared" si="7"/>
        <v>1</v>
      </c>
      <c r="N110">
        <f t="shared" si="8"/>
        <v>0</v>
      </c>
    </row>
    <row r="111" spans="1:14" x14ac:dyDescent="0.35">
      <c r="A111" t="s">
        <v>18</v>
      </c>
      <c r="B111">
        <f t="shared" si="9"/>
        <v>1</v>
      </c>
      <c r="C111">
        <f t="shared" si="10"/>
        <v>0</v>
      </c>
      <c r="D111">
        <v>12</v>
      </c>
      <c r="E111">
        <v>4</v>
      </c>
      <c r="F111">
        <f t="shared" si="11"/>
        <v>21204</v>
      </c>
      <c r="G111">
        <v>2860</v>
      </c>
      <c r="H111">
        <v>2780</v>
      </c>
      <c r="K111">
        <v>720</v>
      </c>
      <c r="L111">
        <v>24</v>
      </c>
      <c r="M111">
        <f t="shared" si="7"/>
        <v>1</v>
      </c>
      <c r="N111">
        <f t="shared" si="8"/>
        <v>0</v>
      </c>
    </row>
    <row r="112" spans="1:14" x14ac:dyDescent="0.35">
      <c r="A112" t="s">
        <v>18</v>
      </c>
      <c r="B112">
        <f t="shared" si="9"/>
        <v>1</v>
      </c>
      <c r="C112">
        <f t="shared" si="10"/>
        <v>0</v>
      </c>
      <c r="D112">
        <v>12</v>
      </c>
      <c r="E112">
        <v>8</v>
      </c>
      <c r="F112">
        <f t="shared" si="11"/>
        <v>21208</v>
      </c>
      <c r="G112">
        <v>4807</v>
      </c>
      <c r="H112">
        <v>4763</v>
      </c>
      <c r="K112">
        <v>1440</v>
      </c>
      <c r="L112">
        <v>24</v>
      </c>
      <c r="M112">
        <f t="shared" si="7"/>
        <v>1</v>
      </c>
      <c r="N112">
        <f t="shared" si="8"/>
        <v>0</v>
      </c>
    </row>
    <row r="113" spans="1:14" x14ac:dyDescent="0.35">
      <c r="A113" t="s">
        <v>18</v>
      </c>
      <c r="B113">
        <f t="shared" si="9"/>
        <v>1</v>
      </c>
      <c r="C113">
        <f t="shared" si="10"/>
        <v>0</v>
      </c>
      <c r="D113">
        <v>12</v>
      </c>
      <c r="E113">
        <v>16</v>
      </c>
      <c r="F113">
        <f t="shared" si="11"/>
        <v>21216</v>
      </c>
      <c r="G113">
        <v>8744</v>
      </c>
      <c r="H113">
        <v>8733</v>
      </c>
      <c r="K113">
        <v>2880</v>
      </c>
      <c r="L113">
        <v>24</v>
      </c>
      <c r="M113">
        <f t="shared" si="7"/>
        <v>1</v>
      </c>
      <c r="N113">
        <f t="shared" si="8"/>
        <v>0</v>
      </c>
    </row>
    <row r="114" spans="1:14" x14ac:dyDescent="0.35">
      <c r="A114" t="s">
        <v>18</v>
      </c>
      <c r="B114">
        <f t="shared" si="9"/>
        <v>1</v>
      </c>
      <c r="C114">
        <f t="shared" si="10"/>
        <v>0</v>
      </c>
      <c r="D114">
        <v>12</v>
      </c>
      <c r="E114">
        <v>32</v>
      </c>
      <c r="F114">
        <f t="shared" si="11"/>
        <v>21232</v>
      </c>
      <c r="G114">
        <v>16528</v>
      </c>
      <c r="H114">
        <v>16519</v>
      </c>
      <c r="K114">
        <v>5760</v>
      </c>
      <c r="L114">
        <v>24</v>
      </c>
      <c r="M114">
        <f t="shared" si="7"/>
        <v>1</v>
      </c>
      <c r="N114">
        <f t="shared" si="8"/>
        <v>0</v>
      </c>
    </row>
    <row r="115" spans="1:14" x14ac:dyDescent="0.35">
      <c r="A115" t="s">
        <v>18</v>
      </c>
      <c r="B115">
        <f t="shared" si="9"/>
        <v>1</v>
      </c>
      <c r="C115">
        <f t="shared" si="10"/>
        <v>0</v>
      </c>
      <c r="D115">
        <v>12</v>
      </c>
      <c r="E115">
        <v>64</v>
      </c>
      <c r="F115">
        <f t="shared" si="11"/>
        <v>21264</v>
      </c>
      <c r="G115">
        <v>32272</v>
      </c>
      <c r="H115">
        <v>32263</v>
      </c>
      <c r="K115">
        <v>11520</v>
      </c>
      <c r="L115">
        <v>24</v>
      </c>
      <c r="M115">
        <f t="shared" si="7"/>
        <v>1</v>
      </c>
      <c r="N115">
        <f t="shared" si="8"/>
        <v>0</v>
      </c>
    </row>
    <row r="116" spans="1:14" x14ac:dyDescent="0.35">
      <c r="A116" t="s">
        <v>152</v>
      </c>
      <c r="B116">
        <f t="shared" si="9"/>
        <v>1</v>
      </c>
      <c r="C116">
        <f t="shared" si="10"/>
        <v>1</v>
      </c>
      <c r="D116">
        <v>1</v>
      </c>
      <c r="E116">
        <v>1</v>
      </c>
      <c r="F116">
        <f t="shared" si="11"/>
        <v>30101</v>
      </c>
      <c r="G116" t="s">
        <v>162</v>
      </c>
      <c r="H116" t="s">
        <v>162</v>
      </c>
      <c r="I116">
        <v>48</v>
      </c>
      <c r="J116">
        <v>48</v>
      </c>
      <c r="L116">
        <v>4</v>
      </c>
      <c r="M116">
        <f t="shared" si="7"/>
        <v>1</v>
      </c>
      <c r="N116">
        <f t="shared" si="8"/>
        <v>1</v>
      </c>
    </row>
    <row r="117" spans="1:14" x14ac:dyDescent="0.35">
      <c r="A117" t="s">
        <v>152</v>
      </c>
      <c r="B117">
        <f t="shared" si="9"/>
        <v>1</v>
      </c>
      <c r="C117">
        <f>IF(OR(A116="8T8R_LS",A116="4T4R_LS"),1,0)</f>
        <v>1</v>
      </c>
      <c r="D117">
        <v>2</v>
      </c>
      <c r="E117">
        <v>1</v>
      </c>
      <c r="F117">
        <f>10000*(2*B117+C118)+100*D117+E117</f>
        <v>30201</v>
      </c>
      <c r="G117" t="s">
        <v>162</v>
      </c>
      <c r="H117" t="s">
        <v>162</v>
      </c>
      <c r="I117" s="1">
        <v>241</v>
      </c>
      <c r="J117" s="1">
        <v>225</v>
      </c>
      <c r="L117">
        <v>4</v>
      </c>
      <c r="M117">
        <f t="shared" si="7"/>
        <v>1</v>
      </c>
      <c r="N117">
        <f t="shared" si="8"/>
        <v>1</v>
      </c>
    </row>
    <row r="118" spans="1:14" x14ac:dyDescent="0.35">
      <c r="A118" t="s">
        <v>152</v>
      </c>
      <c r="B118">
        <f t="shared" si="9"/>
        <v>1</v>
      </c>
      <c r="C118">
        <f>IF(OR(A117="8T8R_LS",A117="4T4R_LS"),1,0)</f>
        <v>1</v>
      </c>
      <c r="D118">
        <v>3</v>
      </c>
      <c r="E118">
        <v>1</v>
      </c>
      <c r="F118">
        <f>10000*(2*B118+C119)+100*D118+E118</f>
        <v>30301</v>
      </c>
      <c r="G118" t="s">
        <v>162</v>
      </c>
      <c r="H118" t="s">
        <v>162</v>
      </c>
      <c r="I118" s="1">
        <v>339</v>
      </c>
      <c r="J118" s="1">
        <v>323</v>
      </c>
      <c r="L118">
        <v>12</v>
      </c>
      <c r="M118">
        <f t="shared" si="7"/>
        <v>1</v>
      </c>
      <c r="N118">
        <f t="shared" si="8"/>
        <v>1</v>
      </c>
    </row>
    <row r="119" spans="1:14" x14ac:dyDescent="0.35">
      <c r="A119" t="s">
        <v>152</v>
      </c>
      <c r="B119">
        <f>IF(OR(A119="4T4R",A119="4T4R_LS"),0,1)</f>
        <v>1</v>
      </c>
      <c r="C119">
        <f>IF(OR(A119="8T8R_LS",A119="4T4R_LS"),1,0)</f>
        <v>1</v>
      </c>
      <c r="D119">
        <v>4</v>
      </c>
      <c r="E119">
        <v>1</v>
      </c>
      <c r="F119">
        <f t="shared" ref="F119:F139" si="12">10000*(2*B119+C119)+100*D119+E119</f>
        <v>30401</v>
      </c>
      <c r="G119">
        <v>470</v>
      </c>
      <c r="H119">
        <v>454</v>
      </c>
      <c r="I119" s="1">
        <v>366</v>
      </c>
      <c r="J119" s="1">
        <v>350</v>
      </c>
      <c r="K119">
        <v>92</v>
      </c>
      <c r="L119" s="36">
        <v>8</v>
      </c>
      <c r="M119">
        <f t="shared" si="7"/>
        <v>1</v>
      </c>
      <c r="N119">
        <f t="shared" si="8"/>
        <v>1</v>
      </c>
    </row>
    <row r="120" spans="1:14" x14ac:dyDescent="0.35">
      <c r="A120" t="s">
        <v>152</v>
      </c>
      <c r="B120">
        <f t="shared" si="9"/>
        <v>1</v>
      </c>
      <c r="C120">
        <f t="shared" si="10"/>
        <v>1</v>
      </c>
      <c r="D120">
        <v>4</v>
      </c>
      <c r="E120">
        <v>2</v>
      </c>
      <c r="F120">
        <f t="shared" si="12"/>
        <v>30402</v>
      </c>
      <c r="G120">
        <v>660</v>
      </c>
      <c r="H120">
        <v>628</v>
      </c>
      <c r="K120">
        <v>120</v>
      </c>
      <c r="L120" s="36">
        <v>8</v>
      </c>
      <c r="M120">
        <f t="shared" si="7"/>
        <v>1</v>
      </c>
      <c r="N120">
        <f t="shared" si="8"/>
        <v>0</v>
      </c>
    </row>
    <row r="121" spans="1:14" x14ac:dyDescent="0.35">
      <c r="A121" t="s">
        <v>152</v>
      </c>
      <c r="B121">
        <f>IF(OR(A121="4T4R",A121="4T4R_LS"),0,1)</f>
        <v>1</v>
      </c>
      <c r="C121">
        <f>IF(OR(A121="8T8R_LS",A121="4T4R_LS"),1,0)</f>
        <v>1</v>
      </c>
      <c r="D121">
        <v>4</v>
      </c>
      <c r="E121">
        <v>4</v>
      </c>
      <c r="F121">
        <f t="shared" si="12"/>
        <v>30404</v>
      </c>
      <c r="G121">
        <v>1001</v>
      </c>
      <c r="H121">
        <v>968</v>
      </c>
      <c r="K121">
        <v>240</v>
      </c>
      <c r="L121" s="36">
        <v>8</v>
      </c>
      <c r="M121">
        <f t="shared" si="7"/>
        <v>1</v>
      </c>
      <c r="N121">
        <f t="shared" si="8"/>
        <v>0</v>
      </c>
    </row>
    <row r="122" spans="1:14" x14ac:dyDescent="0.35">
      <c r="A122" t="s">
        <v>152</v>
      </c>
      <c r="B122">
        <f t="shared" si="9"/>
        <v>1</v>
      </c>
      <c r="C122">
        <f t="shared" si="10"/>
        <v>1</v>
      </c>
      <c r="D122">
        <v>4</v>
      </c>
      <c r="E122">
        <v>8</v>
      </c>
      <c r="F122">
        <f t="shared" si="12"/>
        <v>30408</v>
      </c>
      <c r="G122">
        <v>1660</v>
      </c>
      <c r="H122">
        <v>1628</v>
      </c>
      <c r="K122">
        <v>480</v>
      </c>
      <c r="L122" s="36">
        <v>8</v>
      </c>
      <c r="M122">
        <f t="shared" si="7"/>
        <v>1</v>
      </c>
      <c r="N122">
        <f t="shared" si="8"/>
        <v>0</v>
      </c>
    </row>
    <row r="123" spans="1:14" x14ac:dyDescent="0.35">
      <c r="A123" t="s">
        <v>152</v>
      </c>
      <c r="B123">
        <f t="shared" si="9"/>
        <v>1</v>
      </c>
      <c r="C123">
        <f t="shared" si="10"/>
        <v>1</v>
      </c>
      <c r="D123">
        <v>4</v>
      </c>
      <c r="E123">
        <v>16</v>
      </c>
      <c r="F123">
        <f t="shared" si="12"/>
        <v>30416</v>
      </c>
      <c r="G123">
        <v>2951</v>
      </c>
      <c r="H123">
        <v>2930</v>
      </c>
      <c r="K123">
        <v>960</v>
      </c>
      <c r="L123" s="36">
        <v>8</v>
      </c>
      <c r="M123">
        <f t="shared" si="7"/>
        <v>1</v>
      </c>
      <c r="N123">
        <f t="shared" si="8"/>
        <v>0</v>
      </c>
    </row>
    <row r="124" spans="1:14" x14ac:dyDescent="0.35">
      <c r="A124" t="s">
        <v>152</v>
      </c>
      <c r="B124">
        <f t="shared" si="9"/>
        <v>1</v>
      </c>
      <c r="C124">
        <f t="shared" si="10"/>
        <v>1</v>
      </c>
      <c r="D124">
        <v>4</v>
      </c>
      <c r="E124">
        <v>32</v>
      </c>
      <c r="F124">
        <f t="shared" si="12"/>
        <v>30432</v>
      </c>
      <c r="G124">
        <v>5565</v>
      </c>
      <c r="H124">
        <v>5511</v>
      </c>
      <c r="K124">
        <v>1920</v>
      </c>
      <c r="L124" s="36">
        <v>8</v>
      </c>
      <c r="M124">
        <f t="shared" si="7"/>
        <v>1</v>
      </c>
      <c r="N124">
        <f t="shared" si="8"/>
        <v>0</v>
      </c>
    </row>
    <row r="125" spans="1:14" x14ac:dyDescent="0.35">
      <c r="A125" t="s">
        <v>152</v>
      </c>
      <c r="B125">
        <f t="shared" si="9"/>
        <v>1</v>
      </c>
      <c r="C125">
        <f t="shared" si="10"/>
        <v>1</v>
      </c>
      <c r="D125">
        <v>4</v>
      </c>
      <c r="E125">
        <v>64</v>
      </c>
      <c r="F125">
        <f t="shared" si="12"/>
        <v>30464</v>
      </c>
      <c r="G125">
        <v>10768</v>
      </c>
      <c r="H125">
        <v>10759</v>
      </c>
      <c r="K125">
        <v>3840</v>
      </c>
      <c r="L125" s="36">
        <v>8</v>
      </c>
      <c r="M125">
        <f t="shared" si="7"/>
        <v>1</v>
      </c>
      <c r="N125">
        <f t="shared" si="8"/>
        <v>0</v>
      </c>
    </row>
    <row r="126" spans="1:14" x14ac:dyDescent="0.35">
      <c r="A126" t="s">
        <v>152</v>
      </c>
      <c r="B126">
        <f t="shared" si="9"/>
        <v>1</v>
      </c>
      <c r="C126">
        <f t="shared" si="10"/>
        <v>1</v>
      </c>
      <c r="D126">
        <v>6</v>
      </c>
      <c r="E126">
        <v>1</v>
      </c>
      <c r="F126">
        <f t="shared" si="12"/>
        <v>30601</v>
      </c>
      <c r="G126">
        <v>617</v>
      </c>
      <c r="H126">
        <v>577</v>
      </c>
      <c r="I126" s="1">
        <v>455</v>
      </c>
      <c r="J126" s="1">
        <v>439</v>
      </c>
      <c r="K126">
        <v>138</v>
      </c>
      <c r="L126" s="36">
        <v>12</v>
      </c>
      <c r="M126">
        <f t="shared" si="7"/>
        <v>1</v>
      </c>
      <c r="N126">
        <f t="shared" si="8"/>
        <v>1</v>
      </c>
    </row>
    <row r="127" spans="1:14" x14ac:dyDescent="0.35">
      <c r="A127" t="s">
        <v>152</v>
      </c>
      <c r="B127">
        <f t="shared" si="9"/>
        <v>1</v>
      </c>
      <c r="C127">
        <f t="shared" si="10"/>
        <v>1</v>
      </c>
      <c r="D127">
        <v>6</v>
      </c>
      <c r="E127">
        <v>2</v>
      </c>
      <c r="F127">
        <f t="shared" si="12"/>
        <v>30602</v>
      </c>
      <c r="G127">
        <v>902</v>
      </c>
      <c r="H127">
        <v>862</v>
      </c>
      <c r="K127">
        <v>180</v>
      </c>
      <c r="L127" s="36">
        <v>12</v>
      </c>
      <c r="M127">
        <f t="shared" si="7"/>
        <v>1</v>
      </c>
      <c r="N127">
        <f t="shared" si="8"/>
        <v>0</v>
      </c>
    </row>
    <row r="128" spans="1:14" x14ac:dyDescent="0.35">
      <c r="A128" t="s">
        <v>152</v>
      </c>
      <c r="B128">
        <f t="shared" si="9"/>
        <v>1</v>
      </c>
      <c r="C128">
        <f t="shared" si="10"/>
        <v>1</v>
      </c>
      <c r="D128">
        <v>6</v>
      </c>
      <c r="E128">
        <v>4</v>
      </c>
      <c r="F128">
        <f t="shared" si="12"/>
        <v>30604</v>
      </c>
      <c r="G128">
        <v>1416</v>
      </c>
      <c r="H128">
        <v>1372</v>
      </c>
      <c r="K128">
        <v>360</v>
      </c>
      <c r="L128" s="36">
        <v>12</v>
      </c>
      <c r="M128">
        <f t="shared" si="7"/>
        <v>1</v>
      </c>
      <c r="N128">
        <f t="shared" si="8"/>
        <v>0</v>
      </c>
    </row>
    <row r="129" spans="1:14" x14ac:dyDescent="0.35">
      <c r="A129" t="s">
        <v>152</v>
      </c>
      <c r="B129">
        <f t="shared" si="9"/>
        <v>1</v>
      </c>
      <c r="C129">
        <f t="shared" si="10"/>
        <v>1</v>
      </c>
      <c r="D129">
        <v>6</v>
      </c>
      <c r="E129">
        <v>8</v>
      </c>
      <c r="F129">
        <f t="shared" si="12"/>
        <v>30608</v>
      </c>
      <c r="G129">
        <v>2416</v>
      </c>
      <c r="H129">
        <v>2382</v>
      </c>
      <c r="K129">
        <v>720</v>
      </c>
      <c r="L129" s="36">
        <v>12</v>
      </c>
      <c r="M129">
        <f t="shared" si="7"/>
        <v>1</v>
      </c>
      <c r="N129">
        <f t="shared" si="8"/>
        <v>0</v>
      </c>
    </row>
    <row r="130" spans="1:14" x14ac:dyDescent="0.35">
      <c r="A130" t="s">
        <v>152</v>
      </c>
      <c r="B130">
        <f t="shared" si="9"/>
        <v>1</v>
      </c>
      <c r="C130">
        <f t="shared" si="10"/>
        <v>1</v>
      </c>
      <c r="D130">
        <v>6</v>
      </c>
      <c r="E130">
        <v>16</v>
      </c>
      <c r="F130">
        <f t="shared" si="12"/>
        <v>30616</v>
      </c>
      <c r="G130">
        <v>4327</v>
      </c>
      <c r="H130">
        <v>4327</v>
      </c>
      <c r="K130">
        <v>1440</v>
      </c>
      <c r="L130" s="36">
        <v>12</v>
      </c>
      <c r="M130">
        <f t="shared" si="7"/>
        <v>1</v>
      </c>
      <c r="N130">
        <f t="shared" si="8"/>
        <v>0</v>
      </c>
    </row>
    <row r="131" spans="1:14" x14ac:dyDescent="0.35">
      <c r="A131" t="s">
        <v>152</v>
      </c>
      <c r="B131">
        <f t="shared" si="9"/>
        <v>1</v>
      </c>
      <c r="C131">
        <f t="shared" si="10"/>
        <v>1</v>
      </c>
      <c r="D131">
        <v>6</v>
      </c>
      <c r="E131">
        <v>32</v>
      </c>
      <c r="F131">
        <f t="shared" si="12"/>
        <v>30632</v>
      </c>
      <c r="G131">
        <v>8272</v>
      </c>
      <c r="H131">
        <v>8263</v>
      </c>
      <c r="K131">
        <v>2880</v>
      </c>
      <c r="L131" s="36">
        <v>12</v>
      </c>
      <c r="M131">
        <f t="shared" ref="M131:M139" si="13">IF(G131&gt;0,1,0)</f>
        <v>1</v>
      </c>
      <c r="N131">
        <f t="shared" ref="N131:N139" si="14">IF(I131&gt;0,1,0)</f>
        <v>0</v>
      </c>
    </row>
    <row r="132" spans="1:14" x14ac:dyDescent="0.35">
      <c r="A132" t="s">
        <v>152</v>
      </c>
      <c r="B132">
        <f t="shared" si="9"/>
        <v>1</v>
      </c>
      <c r="C132">
        <f t="shared" si="10"/>
        <v>1</v>
      </c>
      <c r="D132">
        <v>6</v>
      </c>
      <c r="E132">
        <v>64</v>
      </c>
      <c r="F132">
        <f t="shared" si="12"/>
        <v>30664</v>
      </c>
      <c r="G132">
        <v>16144</v>
      </c>
      <c r="H132">
        <v>16135</v>
      </c>
      <c r="K132">
        <v>5760</v>
      </c>
      <c r="L132" s="36">
        <v>12</v>
      </c>
      <c r="M132">
        <f t="shared" si="13"/>
        <v>1</v>
      </c>
      <c r="N132">
        <f t="shared" si="14"/>
        <v>0</v>
      </c>
    </row>
    <row r="133" spans="1:14" x14ac:dyDescent="0.35">
      <c r="A133" t="s">
        <v>152</v>
      </c>
      <c r="B133">
        <f t="shared" si="9"/>
        <v>1</v>
      </c>
      <c r="C133">
        <f t="shared" si="10"/>
        <v>1</v>
      </c>
      <c r="D133">
        <v>12</v>
      </c>
      <c r="E133">
        <v>1</v>
      </c>
      <c r="F133">
        <f t="shared" si="12"/>
        <v>31201</v>
      </c>
      <c r="G133">
        <v>915</v>
      </c>
      <c r="H133">
        <v>874</v>
      </c>
      <c r="I133" s="1">
        <v>753</v>
      </c>
      <c r="J133" s="1">
        <v>736</v>
      </c>
      <c r="K133">
        <v>180</v>
      </c>
      <c r="L133" s="36">
        <v>12</v>
      </c>
      <c r="M133">
        <f t="shared" si="13"/>
        <v>1</v>
      </c>
      <c r="N133">
        <f t="shared" si="14"/>
        <v>1</v>
      </c>
    </row>
    <row r="134" spans="1:14" x14ac:dyDescent="0.35">
      <c r="A134" t="s">
        <v>152</v>
      </c>
      <c r="B134">
        <f t="shared" si="9"/>
        <v>1</v>
      </c>
      <c r="C134">
        <f t="shared" si="10"/>
        <v>1</v>
      </c>
      <c r="D134">
        <v>12</v>
      </c>
      <c r="E134">
        <v>2</v>
      </c>
      <c r="F134">
        <f t="shared" si="12"/>
        <v>31202</v>
      </c>
      <c r="G134">
        <v>1560</v>
      </c>
      <c r="H134">
        <v>1516</v>
      </c>
      <c r="K134">
        <v>360</v>
      </c>
      <c r="L134" s="36">
        <v>12</v>
      </c>
      <c r="M134">
        <f t="shared" si="13"/>
        <v>1</v>
      </c>
      <c r="N134">
        <f t="shared" si="14"/>
        <v>0</v>
      </c>
    </row>
    <row r="135" spans="1:14" x14ac:dyDescent="0.35">
      <c r="A135" t="s">
        <v>152</v>
      </c>
      <c r="B135">
        <f t="shared" si="9"/>
        <v>1</v>
      </c>
      <c r="C135">
        <f t="shared" si="10"/>
        <v>1</v>
      </c>
      <c r="D135">
        <v>12</v>
      </c>
      <c r="E135">
        <v>4</v>
      </c>
      <c r="F135">
        <f t="shared" si="12"/>
        <v>31204</v>
      </c>
      <c r="G135">
        <v>2580</v>
      </c>
      <c r="H135">
        <v>2538</v>
      </c>
      <c r="K135">
        <v>720</v>
      </c>
      <c r="L135" s="36">
        <v>12</v>
      </c>
      <c r="M135">
        <f t="shared" si="13"/>
        <v>1</v>
      </c>
      <c r="N135">
        <f t="shared" si="14"/>
        <v>0</v>
      </c>
    </row>
    <row r="136" spans="1:14" x14ac:dyDescent="0.35">
      <c r="A136" t="s">
        <v>152</v>
      </c>
      <c r="B136">
        <f t="shared" ref="B136:B139" si="15">IF(OR(A136="4T4R",A136="4T4R_LS"),0,1)</f>
        <v>1</v>
      </c>
      <c r="C136">
        <f t="shared" ref="C136:C139" si="16">IF(OR(A136="8T8R_LS",A136="4T4R_LS"),1,0)</f>
        <v>1</v>
      </c>
      <c r="D136">
        <v>12</v>
      </c>
      <c r="E136">
        <v>8</v>
      </c>
      <c r="F136">
        <f t="shared" si="12"/>
        <v>31208</v>
      </c>
      <c r="G136">
        <v>4528</v>
      </c>
      <c r="H136">
        <v>4519</v>
      </c>
      <c r="K136">
        <v>1440</v>
      </c>
      <c r="L136" s="36">
        <v>12</v>
      </c>
      <c r="M136">
        <f t="shared" si="13"/>
        <v>1</v>
      </c>
      <c r="N136">
        <f t="shared" si="14"/>
        <v>0</v>
      </c>
    </row>
    <row r="137" spans="1:14" x14ac:dyDescent="0.35">
      <c r="A137" t="s">
        <v>152</v>
      </c>
      <c r="B137">
        <f t="shared" si="15"/>
        <v>1</v>
      </c>
      <c r="C137">
        <f t="shared" si="16"/>
        <v>1</v>
      </c>
      <c r="D137">
        <v>12</v>
      </c>
      <c r="E137">
        <v>16</v>
      </c>
      <c r="F137">
        <f t="shared" si="12"/>
        <v>31216</v>
      </c>
      <c r="G137">
        <v>8464</v>
      </c>
      <c r="H137">
        <v>8455</v>
      </c>
      <c r="K137">
        <v>2880</v>
      </c>
      <c r="L137" s="36">
        <v>12</v>
      </c>
      <c r="M137">
        <f t="shared" si="13"/>
        <v>1</v>
      </c>
      <c r="N137">
        <f t="shared" si="14"/>
        <v>0</v>
      </c>
    </row>
    <row r="138" spans="1:14" x14ac:dyDescent="0.35">
      <c r="A138" t="s">
        <v>152</v>
      </c>
      <c r="B138">
        <f t="shared" si="15"/>
        <v>1</v>
      </c>
      <c r="C138">
        <f t="shared" si="16"/>
        <v>1</v>
      </c>
      <c r="D138">
        <v>12</v>
      </c>
      <c r="E138">
        <v>32</v>
      </c>
      <c r="F138">
        <f t="shared" si="12"/>
        <v>31232</v>
      </c>
      <c r="G138">
        <v>16144</v>
      </c>
      <c r="H138">
        <v>16135</v>
      </c>
      <c r="K138">
        <v>5760</v>
      </c>
      <c r="L138" s="36">
        <v>12</v>
      </c>
      <c r="M138">
        <f t="shared" si="13"/>
        <v>1</v>
      </c>
      <c r="N138">
        <f t="shared" si="14"/>
        <v>0</v>
      </c>
    </row>
    <row r="139" spans="1:14" x14ac:dyDescent="0.35">
      <c r="A139" t="s">
        <v>152</v>
      </c>
      <c r="B139">
        <f t="shared" si="15"/>
        <v>1</v>
      </c>
      <c r="C139">
        <f t="shared" si="16"/>
        <v>1</v>
      </c>
      <c r="D139">
        <v>12</v>
      </c>
      <c r="E139">
        <v>64</v>
      </c>
      <c r="F139">
        <f t="shared" si="12"/>
        <v>31264</v>
      </c>
      <c r="G139">
        <v>32272</v>
      </c>
      <c r="H139">
        <v>31890</v>
      </c>
      <c r="K139">
        <v>11520</v>
      </c>
      <c r="L139" s="36">
        <v>12</v>
      </c>
      <c r="M139">
        <f t="shared" si="13"/>
        <v>1</v>
      </c>
      <c r="N139">
        <f t="shared" si="14"/>
        <v>0</v>
      </c>
    </row>
  </sheetData>
  <autoFilter ref="A1:N1" xr:uid="{132C3832-9C88-44EF-A281-3A78AE8344F9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E5E7-6953-4EA6-8370-0E33D241712D}">
  <dimension ref="A1:C6"/>
  <sheetViews>
    <sheetView workbookViewId="0">
      <selection activeCell="G18" sqref="G18"/>
    </sheetView>
  </sheetViews>
  <sheetFormatPr defaultRowHeight="14.5" x14ac:dyDescent="0.35"/>
  <cols>
    <col min="1" max="1" width="12" customWidth="1"/>
    <col min="2" max="2" width="12.54296875" customWidth="1"/>
    <col min="3" max="3" width="13.54296875" customWidth="1"/>
  </cols>
  <sheetData>
    <row r="1" spans="1:3" x14ac:dyDescent="0.35">
      <c r="A1" t="s">
        <v>163</v>
      </c>
      <c r="B1" t="s">
        <v>164</v>
      </c>
      <c r="C1" t="s">
        <v>165</v>
      </c>
    </row>
    <row r="2" spans="1:3" x14ac:dyDescent="0.35">
      <c r="A2" s="1" t="s">
        <v>85</v>
      </c>
      <c r="B2" s="1">
        <v>456</v>
      </c>
      <c r="C2" s="1">
        <v>216</v>
      </c>
    </row>
    <row r="3" spans="1:3" x14ac:dyDescent="0.35">
      <c r="A3" s="1" t="s">
        <v>166</v>
      </c>
      <c r="B3" s="1">
        <v>460</v>
      </c>
      <c r="C3" s="1">
        <v>220</v>
      </c>
    </row>
    <row r="4" spans="1:3" x14ac:dyDescent="0.35">
      <c r="A4" s="1" t="s">
        <v>167</v>
      </c>
      <c r="B4" s="1">
        <v>499</v>
      </c>
      <c r="C4" s="1">
        <v>243</v>
      </c>
    </row>
    <row r="5" spans="1:3" x14ac:dyDescent="0.35">
      <c r="A5" s="1" t="s">
        <v>168</v>
      </c>
      <c r="B5" s="1">
        <v>455</v>
      </c>
      <c r="C5" s="1">
        <v>215</v>
      </c>
    </row>
    <row r="6" spans="1:3" x14ac:dyDescent="0.35">
      <c r="A6" s="1" t="s">
        <v>139</v>
      </c>
      <c r="B6" s="1">
        <v>491</v>
      </c>
      <c r="C6" s="1">
        <v>235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7F9F1-364B-49F5-AF68-B7123A8ED1E4}">
  <dimension ref="A1:E8"/>
  <sheetViews>
    <sheetView workbookViewId="0">
      <selection activeCell="G18" sqref="G18"/>
    </sheetView>
  </sheetViews>
  <sheetFormatPr defaultRowHeight="14.5" x14ac:dyDescent="0.35"/>
  <cols>
    <col min="3" max="3" width="8.7265625" customWidth="1"/>
  </cols>
  <sheetData>
    <row r="1" spans="1:5" x14ac:dyDescent="0.35">
      <c r="A1" t="s">
        <v>169</v>
      </c>
      <c r="B1" t="s">
        <v>110</v>
      </c>
      <c r="D1" t="s">
        <v>170</v>
      </c>
      <c r="E1" t="s">
        <v>171</v>
      </c>
    </row>
    <row r="2" spans="1:5" x14ac:dyDescent="0.35">
      <c r="A2" s="1">
        <v>1</v>
      </c>
      <c r="B2" s="1">
        <v>2</v>
      </c>
      <c r="C2" s="1">
        <f>10*A2+B2</f>
        <v>12</v>
      </c>
      <c r="D2" s="1">
        <v>31.76</v>
      </c>
      <c r="E2" s="1">
        <v>33.991999999999997</v>
      </c>
    </row>
    <row r="3" spans="1:5" x14ac:dyDescent="0.35">
      <c r="A3" s="1">
        <v>1</v>
      </c>
      <c r="B3" s="1">
        <v>4</v>
      </c>
      <c r="C3" s="1">
        <f t="shared" ref="C3:C8" si="0">10*A3+B3</f>
        <v>14</v>
      </c>
      <c r="D3" s="1">
        <v>27.3</v>
      </c>
      <c r="E3" s="1">
        <v>29.992000000000001</v>
      </c>
    </row>
    <row r="4" spans="1:5" x14ac:dyDescent="0.35">
      <c r="A4" s="1">
        <v>2</v>
      </c>
      <c r="B4" s="1">
        <v>2</v>
      </c>
      <c r="C4" s="1">
        <f t="shared" si="0"/>
        <v>22</v>
      </c>
      <c r="D4" s="1">
        <v>20.399999999999999</v>
      </c>
      <c r="E4" s="1">
        <v>21.733000000000001</v>
      </c>
    </row>
    <row r="5" spans="1:5" x14ac:dyDescent="0.35">
      <c r="A5" s="1">
        <v>2</v>
      </c>
      <c r="B5" s="1">
        <v>4</v>
      </c>
      <c r="C5" s="1">
        <f t="shared" si="0"/>
        <v>24</v>
      </c>
      <c r="D5" s="1">
        <v>18.45</v>
      </c>
      <c r="E5" s="1">
        <v>19.600000000000001</v>
      </c>
    </row>
    <row r="6" spans="1:5" x14ac:dyDescent="0.35">
      <c r="A6" s="1">
        <v>4</v>
      </c>
      <c r="B6" s="1">
        <v>2</v>
      </c>
      <c r="C6" s="1">
        <f t="shared" si="0"/>
        <v>42</v>
      </c>
      <c r="D6" s="1">
        <v>14.5</v>
      </c>
      <c r="E6" s="1">
        <v>15.85</v>
      </c>
    </row>
    <row r="7" spans="1:5" x14ac:dyDescent="0.35">
      <c r="A7" s="1">
        <v>4</v>
      </c>
      <c r="B7" s="1">
        <v>4</v>
      </c>
      <c r="C7" s="1">
        <f t="shared" si="0"/>
        <v>44</v>
      </c>
      <c r="D7" s="1">
        <v>13.5</v>
      </c>
      <c r="E7" s="1">
        <v>14.916700000000001</v>
      </c>
    </row>
    <row r="8" spans="1:5" x14ac:dyDescent="0.35">
      <c r="A8" s="1">
        <v>8</v>
      </c>
      <c r="B8" s="1">
        <v>2</v>
      </c>
      <c r="C8" s="1">
        <f t="shared" si="0"/>
        <v>82</v>
      </c>
      <c r="D8" s="1">
        <v>12</v>
      </c>
      <c r="E8" s="1">
        <v>12.933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97596-6FFA-4257-BA0C-77F4A4548D48}">
  <dimension ref="A1:E80"/>
  <sheetViews>
    <sheetView workbookViewId="0">
      <selection activeCell="G18" sqref="G18"/>
    </sheetView>
  </sheetViews>
  <sheetFormatPr defaultRowHeight="14.5" x14ac:dyDescent="0.35"/>
  <sheetData>
    <row r="1" spans="1:5" x14ac:dyDescent="0.35">
      <c r="A1" s="10" t="s">
        <v>172</v>
      </c>
      <c r="B1" s="103" t="s">
        <v>105</v>
      </c>
      <c r="C1" s="103" t="s">
        <v>110</v>
      </c>
      <c r="D1" s="103" t="s">
        <v>116</v>
      </c>
      <c r="E1" s="103" t="s">
        <v>121</v>
      </c>
    </row>
    <row r="2" spans="1:5" ht="22.5" thickBot="1" x14ac:dyDescent="0.4">
      <c r="A2" s="11" t="s">
        <v>173</v>
      </c>
      <c r="B2" s="104"/>
      <c r="C2" s="104"/>
      <c r="D2" s="104"/>
      <c r="E2" s="104"/>
    </row>
    <row r="3" spans="1:5" ht="15" thickBot="1" x14ac:dyDescent="0.4">
      <c r="A3" s="12">
        <v>0</v>
      </c>
      <c r="B3" s="13">
        <v>1</v>
      </c>
      <c r="C3" s="13">
        <v>16</v>
      </c>
      <c r="D3" s="13">
        <v>32</v>
      </c>
      <c r="E3" s="13">
        <v>1</v>
      </c>
    </row>
    <row r="4" spans="1:5" ht="15" thickBot="1" x14ac:dyDescent="0.4">
      <c r="A4" s="12">
        <v>1</v>
      </c>
      <c r="B4" s="13">
        <v>1</v>
      </c>
      <c r="C4" s="13">
        <v>16</v>
      </c>
      <c r="D4" s="13">
        <v>24</v>
      </c>
      <c r="E4" s="13">
        <v>1</v>
      </c>
    </row>
    <row r="5" spans="1:5" ht="15" thickBot="1" x14ac:dyDescent="0.4">
      <c r="A5" s="12">
        <v>2</v>
      </c>
      <c r="B5" s="13">
        <v>1</v>
      </c>
      <c r="C5" s="13">
        <v>8</v>
      </c>
      <c r="D5" s="13">
        <v>16</v>
      </c>
      <c r="E5" s="13">
        <v>1</v>
      </c>
    </row>
    <row r="6" spans="1:5" ht="15" thickBot="1" x14ac:dyDescent="0.4">
      <c r="A6" s="12">
        <v>3</v>
      </c>
      <c r="B6" s="13">
        <v>1</v>
      </c>
      <c r="C6" s="13">
        <v>8</v>
      </c>
      <c r="D6" s="13">
        <v>12</v>
      </c>
      <c r="E6" s="13">
        <v>1</v>
      </c>
    </row>
    <row r="7" spans="1:5" ht="15" thickBot="1" x14ac:dyDescent="0.4">
      <c r="A7" s="12">
        <v>4</v>
      </c>
      <c r="B7" s="13">
        <v>1</v>
      </c>
      <c r="C7" s="13">
        <v>4</v>
      </c>
      <c r="D7" s="13">
        <v>8</v>
      </c>
      <c r="E7" s="13">
        <v>1</v>
      </c>
    </row>
    <row r="8" spans="1:5" ht="15" thickBot="1" x14ac:dyDescent="0.4">
      <c r="A8" s="12">
        <v>5</v>
      </c>
      <c r="B8" s="13">
        <v>1</v>
      </c>
      <c r="C8" s="13">
        <v>4</v>
      </c>
      <c r="D8" s="13">
        <v>6</v>
      </c>
      <c r="E8" s="13">
        <v>1</v>
      </c>
    </row>
    <row r="9" spans="1:5" ht="15" thickBot="1" x14ac:dyDescent="0.4">
      <c r="A9" s="12">
        <v>6</v>
      </c>
      <c r="B9" s="13">
        <v>1</v>
      </c>
      <c r="C9" s="13">
        <v>2</v>
      </c>
      <c r="D9" s="13">
        <v>4</v>
      </c>
      <c r="E9" s="13">
        <v>1</v>
      </c>
    </row>
    <row r="10" spans="1:5" ht="15" thickBot="1" x14ac:dyDescent="0.4">
      <c r="A10" s="12">
        <v>7</v>
      </c>
      <c r="B10" s="13">
        <v>2</v>
      </c>
      <c r="C10" s="13">
        <v>16</v>
      </c>
      <c r="D10" s="13">
        <v>16</v>
      </c>
      <c r="E10" s="13">
        <v>1</v>
      </c>
    </row>
    <row r="11" spans="1:5" ht="15" thickBot="1" x14ac:dyDescent="0.4">
      <c r="A11" s="12">
        <v>8</v>
      </c>
      <c r="B11" s="13">
        <v>2</v>
      </c>
      <c r="C11" s="13">
        <v>16</v>
      </c>
      <c r="D11" s="13">
        <v>12</v>
      </c>
      <c r="E11" s="13">
        <v>1</v>
      </c>
    </row>
    <row r="12" spans="1:5" ht="15" thickBot="1" x14ac:dyDescent="0.4">
      <c r="A12" s="12">
        <v>9</v>
      </c>
      <c r="B12" s="13">
        <v>2</v>
      </c>
      <c r="C12" s="13">
        <v>8</v>
      </c>
      <c r="D12" s="13">
        <v>8</v>
      </c>
      <c r="E12" s="13">
        <v>1</v>
      </c>
    </row>
    <row r="13" spans="1:5" ht="15" thickBot="1" x14ac:dyDescent="0.4">
      <c r="A13" s="12">
        <v>10</v>
      </c>
      <c r="B13" s="13">
        <v>2</v>
      </c>
      <c r="C13" s="13">
        <v>8</v>
      </c>
      <c r="D13" s="13">
        <v>6</v>
      </c>
      <c r="E13" s="13">
        <v>1</v>
      </c>
    </row>
    <row r="14" spans="1:5" ht="15" thickBot="1" x14ac:dyDescent="0.4">
      <c r="A14" s="12">
        <v>11</v>
      </c>
      <c r="B14" s="13">
        <v>2</v>
      </c>
      <c r="C14" s="13">
        <v>4</v>
      </c>
      <c r="D14" s="13">
        <v>4</v>
      </c>
      <c r="E14" s="13">
        <v>1</v>
      </c>
    </row>
    <row r="15" spans="1:5" ht="15" thickBot="1" x14ac:dyDescent="0.4">
      <c r="A15" s="12">
        <v>12</v>
      </c>
      <c r="B15" s="13">
        <v>2</v>
      </c>
      <c r="C15" s="13">
        <v>4</v>
      </c>
      <c r="D15" s="13">
        <v>3</v>
      </c>
      <c r="E15" s="13">
        <v>1</v>
      </c>
    </row>
    <row r="16" spans="1:5" ht="15" thickBot="1" x14ac:dyDescent="0.4">
      <c r="A16" s="12">
        <v>13</v>
      </c>
      <c r="B16" s="13">
        <v>2</v>
      </c>
      <c r="C16" s="13">
        <v>2</v>
      </c>
      <c r="D16" s="13">
        <v>2</v>
      </c>
      <c r="E16" s="13">
        <v>1</v>
      </c>
    </row>
    <row r="17" spans="1:5" ht="15" thickBot="1" x14ac:dyDescent="0.4">
      <c r="A17" s="12">
        <v>14</v>
      </c>
      <c r="B17" s="13">
        <v>2</v>
      </c>
      <c r="C17" s="13">
        <v>1</v>
      </c>
      <c r="D17" s="13">
        <v>1</v>
      </c>
      <c r="E17" s="13">
        <v>1</v>
      </c>
    </row>
    <row r="18" spans="1:5" ht="15" thickBot="1" x14ac:dyDescent="0.4">
      <c r="A18" s="12">
        <v>15</v>
      </c>
      <c r="B18" s="13">
        <v>3</v>
      </c>
      <c r="C18" s="13">
        <v>12</v>
      </c>
      <c r="D18" s="13">
        <v>8</v>
      </c>
      <c r="E18" s="13">
        <v>1</v>
      </c>
    </row>
    <row r="19" spans="1:5" ht="15" thickBot="1" x14ac:dyDescent="0.4">
      <c r="A19" s="12">
        <v>16</v>
      </c>
      <c r="B19" s="13">
        <v>3</v>
      </c>
      <c r="C19" s="13">
        <v>8</v>
      </c>
      <c r="D19" s="13">
        <v>4</v>
      </c>
      <c r="E19" s="13">
        <v>1</v>
      </c>
    </row>
    <row r="20" spans="1:5" ht="15" thickBot="1" x14ac:dyDescent="0.4">
      <c r="A20" s="12">
        <v>17</v>
      </c>
      <c r="B20" s="13">
        <v>3</v>
      </c>
      <c r="C20" s="13">
        <v>6</v>
      </c>
      <c r="D20" s="13">
        <v>4</v>
      </c>
      <c r="E20" s="13">
        <v>1</v>
      </c>
    </row>
    <row r="21" spans="1:5" ht="15" thickBot="1" x14ac:dyDescent="0.4">
      <c r="A21" s="12">
        <v>18</v>
      </c>
      <c r="B21" s="13">
        <v>3</v>
      </c>
      <c r="C21" s="13">
        <v>4</v>
      </c>
      <c r="D21" s="13">
        <v>2</v>
      </c>
      <c r="E21" s="13">
        <v>1</v>
      </c>
    </row>
    <row r="22" spans="1:5" ht="15" thickBot="1" x14ac:dyDescent="0.4">
      <c r="A22" s="12">
        <v>19</v>
      </c>
      <c r="B22" s="13">
        <v>3</v>
      </c>
      <c r="C22" s="13">
        <v>3</v>
      </c>
      <c r="D22" s="13">
        <v>2</v>
      </c>
      <c r="E22" s="13">
        <v>1</v>
      </c>
    </row>
    <row r="23" spans="1:5" ht="15" thickBot="1" x14ac:dyDescent="0.4">
      <c r="A23" s="12">
        <v>20</v>
      </c>
      <c r="B23" s="13">
        <v>3</v>
      </c>
      <c r="C23" s="13">
        <v>2</v>
      </c>
      <c r="D23" s="13">
        <v>1</v>
      </c>
      <c r="E23" s="13">
        <v>1</v>
      </c>
    </row>
    <row r="24" spans="1:5" ht="15" thickBot="1" x14ac:dyDescent="0.4">
      <c r="A24" s="12">
        <v>21</v>
      </c>
      <c r="B24" s="13">
        <v>3</v>
      </c>
      <c r="C24" s="13">
        <v>1</v>
      </c>
      <c r="D24" s="13">
        <v>1</v>
      </c>
      <c r="E24" s="13">
        <v>2</v>
      </c>
    </row>
    <row r="25" spans="1:5" ht="15" thickBot="1" x14ac:dyDescent="0.4">
      <c r="A25" s="12">
        <v>22</v>
      </c>
      <c r="B25" s="13">
        <v>4</v>
      </c>
      <c r="C25" s="13">
        <v>16</v>
      </c>
      <c r="D25" s="13">
        <v>8</v>
      </c>
      <c r="E25" s="13">
        <v>1</v>
      </c>
    </row>
    <row r="26" spans="1:5" ht="15" thickBot="1" x14ac:dyDescent="0.4">
      <c r="A26" s="12">
        <v>23</v>
      </c>
      <c r="B26" s="13">
        <v>4</v>
      </c>
      <c r="C26" s="13">
        <v>16</v>
      </c>
      <c r="D26" s="13">
        <v>6</v>
      </c>
      <c r="E26" s="13">
        <v>1</v>
      </c>
    </row>
    <row r="27" spans="1:5" ht="15" thickBot="1" x14ac:dyDescent="0.4">
      <c r="A27" s="12">
        <v>24</v>
      </c>
      <c r="B27" s="13">
        <v>4</v>
      </c>
      <c r="C27" s="13">
        <v>8</v>
      </c>
      <c r="D27" s="13">
        <v>4</v>
      </c>
      <c r="E27" s="13">
        <v>1</v>
      </c>
    </row>
    <row r="28" spans="1:5" ht="15" thickBot="1" x14ac:dyDescent="0.4">
      <c r="A28" s="12">
        <v>25</v>
      </c>
      <c r="B28" s="13">
        <v>4</v>
      </c>
      <c r="C28" s="13">
        <v>8</v>
      </c>
      <c r="D28" s="13">
        <v>3</v>
      </c>
      <c r="E28" s="13">
        <v>1</v>
      </c>
    </row>
    <row r="29" spans="1:5" ht="15" thickBot="1" x14ac:dyDescent="0.4">
      <c r="A29" s="12">
        <v>26</v>
      </c>
      <c r="B29" s="13">
        <v>4</v>
      </c>
      <c r="C29" s="13">
        <v>4</v>
      </c>
      <c r="D29" s="13">
        <v>2</v>
      </c>
      <c r="E29" s="13">
        <v>1</v>
      </c>
    </row>
    <row r="30" spans="1:5" ht="15" thickBot="1" x14ac:dyDescent="0.4">
      <c r="A30" s="12">
        <v>27</v>
      </c>
      <c r="B30" s="13">
        <v>4</v>
      </c>
      <c r="C30" s="13">
        <v>4</v>
      </c>
      <c r="D30" s="13">
        <v>3</v>
      </c>
      <c r="E30" s="13">
        <v>2</v>
      </c>
    </row>
    <row r="31" spans="1:5" ht="15" thickBot="1" x14ac:dyDescent="0.4">
      <c r="A31" s="12">
        <v>28</v>
      </c>
      <c r="B31" s="13">
        <v>4</v>
      </c>
      <c r="C31" s="13">
        <v>4</v>
      </c>
      <c r="D31" s="13">
        <v>1</v>
      </c>
      <c r="E31" s="13">
        <v>1</v>
      </c>
    </row>
    <row r="32" spans="1:5" ht="15" thickBot="1" x14ac:dyDescent="0.4">
      <c r="A32" s="12">
        <v>29</v>
      </c>
      <c r="B32" s="13">
        <v>4</v>
      </c>
      <c r="C32" s="13">
        <v>2</v>
      </c>
      <c r="D32" s="13">
        <v>1</v>
      </c>
      <c r="E32" s="13">
        <v>1</v>
      </c>
    </row>
    <row r="33" spans="1:5" ht="15" thickBot="1" x14ac:dyDescent="0.4">
      <c r="A33" s="12">
        <v>30</v>
      </c>
      <c r="B33" s="13">
        <v>4</v>
      </c>
      <c r="C33" s="13">
        <v>2</v>
      </c>
      <c r="D33" s="13">
        <v>3</v>
      </c>
      <c r="E33" s="13">
        <v>4</v>
      </c>
    </row>
    <row r="34" spans="1:5" ht="15" thickBot="1" x14ac:dyDescent="0.4">
      <c r="A34" s="12">
        <v>31</v>
      </c>
      <c r="B34" s="13">
        <v>4</v>
      </c>
      <c r="C34" s="13">
        <v>2</v>
      </c>
      <c r="D34" s="13">
        <v>1</v>
      </c>
      <c r="E34" s="13">
        <v>2</v>
      </c>
    </row>
    <row r="35" spans="1:5" ht="15" thickBot="1" x14ac:dyDescent="0.4">
      <c r="A35" s="12">
        <v>32</v>
      </c>
      <c r="B35" s="13">
        <v>4</v>
      </c>
      <c r="C35" s="13">
        <v>1</v>
      </c>
      <c r="D35" s="13">
        <v>1</v>
      </c>
      <c r="E35" s="13">
        <v>2</v>
      </c>
    </row>
    <row r="36" spans="1:5" ht="15" thickBot="1" x14ac:dyDescent="0.4">
      <c r="A36" s="12">
        <v>33</v>
      </c>
      <c r="B36" s="13">
        <v>4</v>
      </c>
      <c r="C36" s="13">
        <v>1</v>
      </c>
      <c r="D36" s="13">
        <v>3</v>
      </c>
      <c r="E36" s="13">
        <v>8</v>
      </c>
    </row>
    <row r="37" spans="1:5" ht="15" thickBot="1" x14ac:dyDescent="0.4">
      <c r="A37" s="12">
        <v>34</v>
      </c>
      <c r="B37" s="13">
        <v>4</v>
      </c>
      <c r="C37" s="13">
        <v>1</v>
      </c>
      <c r="D37" s="13">
        <v>1</v>
      </c>
      <c r="E37" s="13">
        <v>4</v>
      </c>
    </row>
    <row r="38" spans="1:5" ht="15" thickBot="1" x14ac:dyDescent="0.4">
      <c r="A38" s="12">
        <v>35</v>
      </c>
      <c r="B38" s="13">
        <v>6</v>
      </c>
      <c r="C38" s="13">
        <v>12</v>
      </c>
      <c r="D38" s="13">
        <v>4</v>
      </c>
      <c r="E38" s="13">
        <v>1</v>
      </c>
    </row>
    <row r="39" spans="1:5" ht="15" thickBot="1" x14ac:dyDescent="0.4">
      <c r="A39" s="12">
        <v>36</v>
      </c>
      <c r="B39" s="13">
        <v>6</v>
      </c>
      <c r="C39" s="13">
        <v>8</v>
      </c>
      <c r="D39" s="13">
        <v>2</v>
      </c>
      <c r="E39" s="13">
        <v>1</v>
      </c>
    </row>
    <row r="40" spans="1:5" ht="15" thickBot="1" x14ac:dyDescent="0.4">
      <c r="A40" s="12">
        <v>37</v>
      </c>
      <c r="B40" s="13">
        <v>6</v>
      </c>
      <c r="C40" s="13">
        <v>6</v>
      </c>
      <c r="D40" s="13">
        <v>2</v>
      </c>
      <c r="E40" s="13">
        <v>1</v>
      </c>
    </row>
    <row r="41" spans="1:5" ht="15" thickBot="1" x14ac:dyDescent="0.4">
      <c r="A41" s="12">
        <v>38</v>
      </c>
      <c r="B41" s="13">
        <v>6</v>
      </c>
      <c r="C41" s="13">
        <v>4</v>
      </c>
      <c r="D41" s="13">
        <v>1</v>
      </c>
      <c r="E41" s="13">
        <v>1</v>
      </c>
    </row>
    <row r="42" spans="1:5" ht="15" thickBot="1" x14ac:dyDescent="0.4">
      <c r="A42" s="12">
        <v>39</v>
      </c>
      <c r="B42" s="13">
        <v>6</v>
      </c>
      <c r="C42" s="13">
        <v>3</v>
      </c>
      <c r="D42" s="13">
        <v>3</v>
      </c>
      <c r="E42" s="13">
        <v>4</v>
      </c>
    </row>
    <row r="43" spans="1:5" ht="15" thickBot="1" x14ac:dyDescent="0.4">
      <c r="A43" s="12">
        <v>40</v>
      </c>
      <c r="B43" s="13">
        <v>6</v>
      </c>
      <c r="C43" s="13">
        <v>3</v>
      </c>
      <c r="D43" s="13">
        <v>1</v>
      </c>
      <c r="E43" s="13">
        <v>1</v>
      </c>
    </row>
    <row r="44" spans="1:5" ht="15" thickBot="1" x14ac:dyDescent="0.4">
      <c r="A44" s="12">
        <v>41</v>
      </c>
      <c r="B44" s="13">
        <v>6</v>
      </c>
      <c r="C44" s="13">
        <v>2</v>
      </c>
      <c r="D44" s="13">
        <v>1</v>
      </c>
      <c r="E44" s="13">
        <v>2</v>
      </c>
    </row>
    <row r="45" spans="1:5" ht="15" thickBot="1" x14ac:dyDescent="0.4">
      <c r="A45" s="12">
        <v>42</v>
      </c>
      <c r="B45" s="13">
        <v>6</v>
      </c>
      <c r="C45" s="13">
        <v>1</v>
      </c>
      <c r="D45" s="13">
        <v>1</v>
      </c>
      <c r="E45" s="13">
        <v>4</v>
      </c>
    </row>
    <row r="46" spans="1:5" ht="15" thickBot="1" x14ac:dyDescent="0.4">
      <c r="A46" s="12">
        <v>43</v>
      </c>
      <c r="B46" s="13">
        <v>8</v>
      </c>
      <c r="C46" s="13">
        <v>16</v>
      </c>
      <c r="D46" s="13">
        <v>4</v>
      </c>
      <c r="E46" s="13">
        <v>1</v>
      </c>
    </row>
    <row r="47" spans="1:5" ht="15" thickBot="1" x14ac:dyDescent="0.4">
      <c r="A47" s="12">
        <v>44</v>
      </c>
      <c r="B47" s="13">
        <v>8</v>
      </c>
      <c r="C47" s="13">
        <v>16</v>
      </c>
      <c r="D47" s="13">
        <v>3</v>
      </c>
      <c r="E47" s="13">
        <v>1</v>
      </c>
    </row>
    <row r="48" spans="1:5" ht="15" thickBot="1" x14ac:dyDescent="0.4">
      <c r="A48" s="12">
        <v>45</v>
      </c>
      <c r="B48" s="13">
        <v>8</v>
      </c>
      <c r="C48" s="13">
        <v>8</v>
      </c>
      <c r="D48" s="13">
        <v>2</v>
      </c>
      <c r="E48" s="13">
        <v>1</v>
      </c>
    </row>
    <row r="49" spans="1:5" ht="15" thickBot="1" x14ac:dyDescent="0.4">
      <c r="A49" s="12">
        <v>46</v>
      </c>
      <c r="B49" s="13">
        <v>8</v>
      </c>
      <c r="C49" s="13">
        <v>8</v>
      </c>
      <c r="D49" s="13">
        <v>3</v>
      </c>
      <c r="E49" s="13">
        <v>2</v>
      </c>
    </row>
    <row r="50" spans="1:5" ht="15" thickBot="1" x14ac:dyDescent="0.4">
      <c r="A50" s="12">
        <v>47</v>
      </c>
      <c r="B50" s="13">
        <v>8</v>
      </c>
      <c r="C50" s="13">
        <v>4</v>
      </c>
      <c r="D50" s="13">
        <v>1</v>
      </c>
      <c r="E50" s="13">
        <v>1</v>
      </c>
    </row>
    <row r="51" spans="1:5" ht="15" thickBot="1" x14ac:dyDescent="0.4">
      <c r="A51" s="12">
        <v>48</v>
      </c>
      <c r="B51" s="13">
        <v>8</v>
      </c>
      <c r="C51" s="13">
        <v>4</v>
      </c>
      <c r="D51" s="13">
        <v>3</v>
      </c>
      <c r="E51" s="13">
        <v>4</v>
      </c>
    </row>
    <row r="52" spans="1:5" ht="15" thickBot="1" x14ac:dyDescent="0.4">
      <c r="A52" s="12">
        <v>49</v>
      </c>
      <c r="B52" s="13">
        <v>8</v>
      </c>
      <c r="C52" s="13">
        <v>4</v>
      </c>
      <c r="D52" s="13">
        <v>1</v>
      </c>
      <c r="E52" s="13">
        <v>2</v>
      </c>
    </row>
    <row r="53" spans="1:5" ht="15" thickBot="1" x14ac:dyDescent="0.4">
      <c r="A53" s="12">
        <v>50</v>
      </c>
      <c r="B53" s="13">
        <v>8</v>
      </c>
      <c r="C53" s="13">
        <v>2</v>
      </c>
      <c r="D53" s="13">
        <v>1</v>
      </c>
      <c r="E53" s="13">
        <v>2</v>
      </c>
    </row>
    <row r="54" spans="1:5" ht="15" thickBot="1" x14ac:dyDescent="0.4">
      <c r="A54" s="12">
        <v>51</v>
      </c>
      <c r="B54" s="13">
        <v>8</v>
      </c>
      <c r="C54" s="13">
        <v>2</v>
      </c>
      <c r="D54" s="13">
        <v>3</v>
      </c>
      <c r="E54" s="13">
        <v>8</v>
      </c>
    </row>
    <row r="55" spans="1:5" ht="15" thickBot="1" x14ac:dyDescent="0.4">
      <c r="A55" s="12">
        <v>52</v>
      </c>
      <c r="B55" s="13">
        <v>8</v>
      </c>
      <c r="C55" s="13">
        <v>2</v>
      </c>
      <c r="D55" s="13">
        <v>1</v>
      </c>
      <c r="E55" s="13">
        <v>4</v>
      </c>
    </row>
    <row r="56" spans="1:5" ht="15" thickBot="1" x14ac:dyDescent="0.4">
      <c r="A56" s="12">
        <v>53</v>
      </c>
      <c r="B56" s="13">
        <v>8</v>
      </c>
      <c r="C56" s="13">
        <v>1</v>
      </c>
      <c r="D56" s="13">
        <v>1</v>
      </c>
      <c r="E56" s="13">
        <v>4</v>
      </c>
    </row>
    <row r="57" spans="1:5" ht="15" thickBot="1" x14ac:dyDescent="0.4">
      <c r="A57" s="12">
        <v>54</v>
      </c>
      <c r="B57" s="13">
        <v>8</v>
      </c>
      <c r="C57" s="13">
        <v>1</v>
      </c>
      <c r="D57" s="13">
        <v>3</v>
      </c>
      <c r="E57" s="13">
        <v>16</v>
      </c>
    </row>
    <row r="58" spans="1:5" ht="15" thickBot="1" x14ac:dyDescent="0.4">
      <c r="A58" s="12">
        <v>55</v>
      </c>
      <c r="B58" s="13">
        <v>8</v>
      </c>
      <c r="C58" s="13">
        <v>1</v>
      </c>
      <c r="D58" s="13">
        <v>1</v>
      </c>
      <c r="E58" s="13">
        <v>8</v>
      </c>
    </row>
    <row r="59" spans="1:5" ht="15" thickBot="1" x14ac:dyDescent="0.4">
      <c r="A59" s="12">
        <v>56</v>
      </c>
      <c r="B59" s="13">
        <v>12</v>
      </c>
      <c r="C59" s="13">
        <v>16</v>
      </c>
      <c r="D59" s="13">
        <v>2</v>
      </c>
      <c r="E59" s="13">
        <v>1</v>
      </c>
    </row>
    <row r="60" spans="1:5" ht="15" thickBot="1" x14ac:dyDescent="0.4">
      <c r="A60" s="12">
        <v>57</v>
      </c>
      <c r="B60" s="13">
        <v>12</v>
      </c>
      <c r="C60" s="13">
        <v>12</v>
      </c>
      <c r="D60" s="13">
        <v>2</v>
      </c>
      <c r="E60" s="13">
        <v>1</v>
      </c>
    </row>
    <row r="61" spans="1:5" ht="15" thickBot="1" x14ac:dyDescent="0.4">
      <c r="A61" s="12">
        <v>58</v>
      </c>
      <c r="B61" s="13">
        <v>12</v>
      </c>
      <c r="C61" s="13">
        <v>12</v>
      </c>
      <c r="D61" s="13">
        <v>3</v>
      </c>
      <c r="E61" s="13">
        <v>2</v>
      </c>
    </row>
    <row r="62" spans="1:5" ht="15" thickBot="1" x14ac:dyDescent="0.4">
      <c r="A62" s="12">
        <v>59</v>
      </c>
      <c r="B62" s="13">
        <v>12</v>
      </c>
      <c r="C62" s="13">
        <v>8</v>
      </c>
      <c r="D62" s="13">
        <v>1</v>
      </c>
      <c r="E62" s="13">
        <v>1</v>
      </c>
    </row>
    <row r="63" spans="1:5" ht="15" thickBot="1" x14ac:dyDescent="0.4">
      <c r="A63" s="12">
        <v>60</v>
      </c>
      <c r="B63" s="13">
        <v>12</v>
      </c>
      <c r="C63" s="13">
        <v>6</v>
      </c>
      <c r="D63" s="13">
        <v>1</v>
      </c>
      <c r="E63" s="13">
        <v>1</v>
      </c>
    </row>
    <row r="64" spans="1:5" ht="15" thickBot="1" x14ac:dyDescent="0.4">
      <c r="A64" s="12">
        <v>61</v>
      </c>
      <c r="B64" s="13">
        <v>12</v>
      </c>
      <c r="C64" s="13">
        <v>4</v>
      </c>
      <c r="D64" s="13">
        <v>1</v>
      </c>
      <c r="E64" s="13">
        <v>2</v>
      </c>
    </row>
    <row r="65" spans="1:5" ht="15" thickBot="1" x14ac:dyDescent="0.4">
      <c r="A65" s="12">
        <v>62</v>
      </c>
      <c r="B65" s="13">
        <v>12</v>
      </c>
      <c r="C65" s="13">
        <v>4</v>
      </c>
      <c r="D65" s="13">
        <v>1</v>
      </c>
      <c r="E65" s="13">
        <v>3</v>
      </c>
    </row>
    <row r="66" spans="1:5" ht="15" thickBot="1" x14ac:dyDescent="0.4">
      <c r="A66" s="12">
        <v>63</v>
      </c>
      <c r="B66" s="13">
        <v>12</v>
      </c>
      <c r="C66" s="13">
        <v>3</v>
      </c>
      <c r="D66" s="13">
        <v>1</v>
      </c>
      <c r="E66" s="13">
        <v>2</v>
      </c>
    </row>
    <row r="67" spans="1:5" ht="15" thickBot="1" x14ac:dyDescent="0.4">
      <c r="A67" s="12">
        <v>64</v>
      </c>
      <c r="B67" s="13">
        <v>12</v>
      </c>
      <c r="C67" s="13">
        <v>3</v>
      </c>
      <c r="D67" s="13">
        <v>3</v>
      </c>
      <c r="E67" s="13">
        <v>8</v>
      </c>
    </row>
    <row r="68" spans="1:5" ht="15" thickBot="1" x14ac:dyDescent="0.4">
      <c r="A68" s="12">
        <v>65</v>
      </c>
      <c r="B68" s="13">
        <v>12</v>
      </c>
      <c r="C68" s="13">
        <v>3</v>
      </c>
      <c r="D68" s="13">
        <v>1</v>
      </c>
      <c r="E68" s="13">
        <v>4</v>
      </c>
    </row>
    <row r="69" spans="1:5" ht="15" thickBot="1" x14ac:dyDescent="0.4">
      <c r="A69" s="12">
        <v>66</v>
      </c>
      <c r="B69" s="13">
        <v>12</v>
      </c>
      <c r="C69" s="13">
        <v>2</v>
      </c>
      <c r="D69" s="13">
        <v>1</v>
      </c>
      <c r="E69" s="13">
        <v>4</v>
      </c>
    </row>
    <row r="70" spans="1:5" ht="15" thickBot="1" x14ac:dyDescent="0.4">
      <c r="A70" s="12">
        <v>67</v>
      </c>
      <c r="B70" s="13">
        <v>12</v>
      </c>
      <c r="C70" s="13">
        <v>2</v>
      </c>
      <c r="D70" s="13">
        <v>1</v>
      </c>
      <c r="E70" s="13">
        <v>6</v>
      </c>
    </row>
    <row r="71" spans="1:5" ht="15" thickBot="1" x14ac:dyDescent="0.4">
      <c r="A71" s="12">
        <v>68</v>
      </c>
      <c r="B71" s="13">
        <v>12</v>
      </c>
      <c r="C71" s="13">
        <v>1</v>
      </c>
      <c r="D71" s="13">
        <v>1</v>
      </c>
      <c r="E71" s="13">
        <v>8</v>
      </c>
    </row>
    <row r="72" spans="1:5" ht="15" thickBot="1" x14ac:dyDescent="0.4">
      <c r="A72" s="12">
        <v>69</v>
      </c>
      <c r="B72" s="13">
        <v>12</v>
      </c>
      <c r="C72" s="13">
        <v>1</v>
      </c>
      <c r="D72" s="13">
        <v>1</v>
      </c>
      <c r="E72" s="13">
        <v>12</v>
      </c>
    </row>
    <row r="73" spans="1:5" ht="15" thickBot="1" x14ac:dyDescent="0.4">
      <c r="A73" s="12">
        <v>70</v>
      </c>
      <c r="B73" s="13">
        <v>4</v>
      </c>
      <c r="C73" s="13">
        <v>4</v>
      </c>
      <c r="D73" s="13">
        <v>2</v>
      </c>
      <c r="E73" s="13">
        <v>2</v>
      </c>
    </row>
    <row r="74" spans="1:5" ht="15" thickBot="1" x14ac:dyDescent="0.4">
      <c r="A74" s="12">
        <v>71</v>
      </c>
      <c r="B74" s="13">
        <v>4</v>
      </c>
      <c r="C74" s="13">
        <v>2</v>
      </c>
      <c r="D74" s="13">
        <v>2</v>
      </c>
      <c r="E74" s="13">
        <v>2</v>
      </c>
    </row>
    <row r="75" spans="1:5" ht="15" thickBot="1" x14ac:dyDescent="0.4">
      <c r="A75" s="12">
        <v>72</v>
      </c>
      <c r="B75" s="13">
        <v>6</v>
      </c>
      <c r="C75" s="13">
        <v>4</v>
      </c>
      <c r="D75" s="13">
        <v>2</v>
      </c>
      <c r="E75" s="13">
        <v>2</v>
      </c>
    </row>
    <row r="76" spans="1:5" ht="15" thickBot="1" x14ac:dyDescent="0.4">
      <c r="A76" s="12">
        <v>73</v>
      </c>
      <c r="B76" s="13">
        <v>8</v>
      </c>
      <c r="C76" s="13">
        <v>4</v>
      </c>
      <c r="D76" s="13">
        <v>2</v>
      </c>
      <c r="E76" s="13">
        <v>2</v>
      </c>
    </row>
    <row r="77" spans="1:5" ht="15" thickBot="1" x14ac:dyDescent="0.4">
      <c r="A77" s="12">
        <v>74</v>
      </c>
      <c r="B77" s="13">
        <v>12</v>
      </c>
      <c r="C77" s="13">
        <v>8</v>
      </c>
      <c r="D77" s="13">
        <v>2</v>
      </c>
      <c r="E77" s="13">
        <v>2</v>
      </c>
    </row>
    <row r="78" spans="1:5" ht="15" thickBot="1" x14ac:dyDescent="0.4">
      <c r="A78" s="12">
        <v>75</v>
      </c>
      <c r="B78" s="13">
        <v>12</v>
      </c>
      <c r="C78" s="13">
        <v>6</v>
      </c>
      <c r="D78" s="13">
        <v>2</v>
      </c>
      <c r="E78" s="13">
        <v>2</v>
      </c>
    </row>
    <row r="79" spans="1:5" ht="15" thickBot="1" x14ac:dyDescent="0.4">
      <c r="A79" s="12">
        <v>76</v>
      </c>
      <c r="B79" s="13">
        <v>12</v>
      </c>
      <c r="C79" s="13">
        <v>1</v>
      </c>
      <c r="D79" s="13">
        <v>1</v>
      </c>
      <c r="E79" s="13">
        <v>6</v>
      </c>
    </row>
    <row r="80" spans="1:5" ht="15" thickBot="1" x14ac:dyDescent="0.4">
      <c r="A80" s="12">
        <v>77</v>
      </c>
      <c r="B80" s="13">
        <v>12</v>
      </c>
      <c r="C80" s="13">
        <v>2</v>
      </c>
      <c r="D80" s="13">
        <v>1</v>
      </c>
      <c r="E80" s="13">
        <v>3</v>
      </c>
    </row>
  </sheetData>
  <mergeCells count="4">
    <mergeCell ref="B1:B2"/>
    <mergeCell ref="C1:C2"/>
    <mergeCell ref="D1:D2"/>
    <mergeCell ref="E1:E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90</vt:i4>
      </vt:variant>
    </vt:vector>
  </HeadingPairs>
  <TitlesOfParts>
    <vt:vector size="100" baseType="lpstr">
      <vt:lpstr>Calculator</vt:lpstr>
      <vt:lpstr>inline_constants</vt:lpstr>
      <vt:lpstr>Sheet2</vt:lpstr>
      <vt:lpstr>Sheet1</vt:lpstr>
      <vt:lpstr>DDC_NS</vt:lpstr>
      <vt:lpstr>bmem</vt:lpstr>
      <vt:lpstr>ddc_selection</vt:lpstr>
      <vt:lpstr>pfilt</vt:lpstr>
      <vt:lpstr>fsrc_gated</vt:lpstr>
      <vt:lpstr>JESD Mode LUT</vt:lpstr>
      <vt:lpstr>bmem_ddc_duc_coeff_100</vt:lpstr>
      <vt:lpstr>bmem_ddc_duc_coeff_1E4</vt:lpstr>
      <vt:lpstr>bmem_ddc_duc_coeff_2</vt:lpstr>
      <vt:lpstr>fsrc_dec_calc_2_to_48</vt:lpstr>
      <vt:lpstr>fsrc_key_gen_coeff_10</vt:lpstr>
      <vt:lpstr>'JESD Mode LUT'!OLE_LINK135</vt:lpstr>
      <vt:lpstr>pfilt_delay_4t4r_disabled</vt:lpstr>
      <vt:lpstr>pfilt_delay_8t8r_disabled</vt:lpstr>
      <vt:lpstr>rx_active_sample_4t4r_coeff</vt:lpstr>
      <vt:lpstr>rx_active_sample_8t8r_coeff</vt:lpstr>
      <vt:lpstr>rx_active_sample_cdec_mod_12</vt:lpstr>
      <vt:lpstr>rx_active_sample_cdec_mod_coeff_2</vt:lpstr>
      <vt:lpstr>rx_active_sample_cdec_mod_coeff_4</vt:lpstr>
      <vt:lpstr>rx_active_sample_greater_than_dec</vt:lpstr>
      <vt:lpstr>rx_active_sample_key_gen_add_1</vt:lpstr>
      <vt:lpstr>rx_active_sample_key_gen_coeff_100</vt:lpstr>
      <vt:lpstr>rx_active_sample_key_gen_coeff_1E4</vt:lpstr>
      <vt:lpstr>rx_active_sample_key_gen_coeff_2</vt:lpstr>
      <vt:lpstr>rx_active_sample_ls_dis_coeff</vt:lpstr>
      <vt:lpstr>rx_active_sample_ls_en_cdec_mod_2</vt:lpstr>
      <vt:lpstr>rx_active_sample_ls_en_coeff</vt:lpstr>
      <vt:lpstr>rx_active_sample_ls_en_sub</vt:lpstr>
      <vt:lpstr>rx_adc_delay_4t4r_rand_max</vt:lpstr>
      <vt:lpstr>rx_adc_delay_4t4r_rand_min</vt:lpstr>
      <vt:lpstr>rx_adc_delay_4t4r_seq_max</vt:lpstr>
      <vt:lpstr>rx_adc_delay_4t4r_seq_min</vt:lpstr>
      <vt:lpstr>rx_adc_delay_8t8r_rand_max</vt:lpstr>
      <vt:lpstr>rx_adc_delay_8t8r_rand_min</vt:lpstr>
      <vt:lpstr>rx_adc_delay_8t8r_seq_max</vt:lpstr>
      <vt:lpstr>rx_adc_delay_8t8r_seq_min</vt:lpstr>
      <vt:lpstr>rx_ddc_ns_coeff_1</vt:lpstr>
      <vt:lpstr>rx_ddc_ns_limit_16_coeff</vt:lpstr>
      <vt:lpstr>rx_ddc_ns_limit_32_4t4r_coeff</vt:lpstr>
      <vt:lpstr>rx_ddc_ns_limit_8_coeff</vt:lpstr>
      <vt:lpstr>rx_ddc_ns_link_ddc_limit_16</vt:lpstr>
      <vt:lpstr>rx_ddc_ns_link_ddc_limit_32</vt:lpstr>
      <vt:lpstr>rx_ddc_ns_link_ddc_limit_8</vt:lpstr>
      <vt:lpstr>rx_ddc_ns_ls_en_default_coeff</vt:lpstr>
      <vt:lpstr>rx_ddc_ns_ls_en_link_ddc_1</vt:lpstr>
      <vt:lpstr>rx_ddc_ns_ls_en_link_ddc_3</vt:lpstr>
      <vt:lpstr>rx_dformat_coeff</vt:lpstr>
      <vt:lpstr>rx_fine_dly_variation_coeff</vt:lpstr>
      <vt:lpstr>rx_fine_o_cfir_fine_dis</vt:lpstr>
      <vt:lpstr>rx_fine_o_cfir_in_coeff</vt:lpstr>
      <vt:lpstr>rx_fsrc_fifo_coeff</vt:lpstr>
      <vt:lpstr>rx_fsrc_fifo_var_coeff</vt:lpstr>
      <vt:lpstr>rx_fsrc_ungated_add</vt:lpstr>
      <vt:lpstr>rx_fsrc_ungated_coeff</vt:lpstr>
      <vt:lpstr>rx_fsrc_ungated_var_coeff</vt:lpstr>
      <vt:lpstr>rx_hsdin_delay_4t4r_disabled</vt:lpstr>
      <vt:lpstr>rx_hsdin_delay_4t4r_enabled</vt:lpstr>
      <vt:lpstr>rx_hsdin_delay_8t8r_disabled</vt:lpstr>
      <vt:lpstr>rx_hsdin_delay_8t8r_enabled</vt:lpstr>
      <vt:lpstr>rx_hsdin_o_lnrx_i_fifo_delay_4t4r</vt:lpstr>
      <vt:lpstr>rx_hsdin_o_lnrx_i_fifo_delay_8t8r</vt:lpstr>
      <vt:lpstr>rx_jtx_async_default_add</vt:lpstr>
      <vt:lpstr>rx_jtx_async_ratio_p75_or_1p5_add</vt:lpstr>
      <vt:lpstr>rx_jtx_ns_4t4r</vt:lpstr>
      <vt:lpstr>rx_jtx_ns_8t8r</vt:lpstr>
      <vt:lpstr>rx_jtx_ns_mod</vt:lpstr>
      <vt:lpstr>rx_jtx_ratio_1</vt:lpstr>
      <vt:lpstr>rx_jtx_ratio_1_add</vt:lpstr>
      <vt:lpstr>rx_jtx_ratio_1p5</vt:lpstr>
      <vt:lpstr>rx_jtx_ratio_default_sub</vt:lpstr>
      <vt:lpstr>rx_jtx_ratio_p5</vt:lpstr>
      <vt:lpstr>rx_jtx_ratio_p5_dly</vt:lpstr>
      <vt:lpstr>rx_jtx_ratio_p75</vt:lpstr>
      <vt:lpstr>rx_jtx_wrapper_ratio_1</vt:lpstr>
      <vt:lpstr>rx_jtx_wrapper_ratio_1_dly</vt:lpstr>
      <vt:lpstr>rx_jtx_wrapper_ratio_2</vt:lpstr>
      <vt:lpstr>rx_jtx_wrapper_ratio_2_dly</vt:lpstr>
      <vt:lpstr>rx_jtx_wrapper_ratio_default_dly</vt:lpstr>
      <vt:lpstr>rx_jtx_wrapper_ratio_p75</vt:lpstr>
      <vt:lpstr>rx_jtx_wrapper_ratio_p75_dly</vt:lpstr>
      <vt:lpstr>rx_lnrx_delay_4t4r_enabled</vt:lpstr>
      <vt:lpstr>rx_lnrx_delay_8t8r_enabled</vt:lpstr>
      <vt:lpstr>rx_lnrx_o_pfilt_I_delay_4t4r</vt:lpstr>
      <vt:lpstr>rx_lnrx_o_pfilt_I_delay_8t8r</vt:lpstr>
      <vt:lpstr>rx_ns_add_fine_dis</vt:lpstr>
      <vt:lpstr>rx_ns_add_fine_en</vt:lpstr>
      <vt:lpstr>rx_ns_conv_ns_fsrc_en</vt:lpstr>
      <vt:lpstr>rx_ns_fsrc_dis_coeff</vt:lpstr>
      <vt:lpstr>rx_pclk_jesd_b_coeff</vt:lpstr>
      <vt:lpstr>rx_pclk_jesd_c_coeff</vt:lpstr>
      <vt:lpstr>rx_pfilt_o_fine_in_delay_4t4r</vt:lpstr>
      <vt:lpstr>rx_pfilt_o_fine_in_delay_8t8r</vt:lpstr>
      <vt:lpstr>rx_rm_fifo_max_coeff</vt:lpstr>
      <vt:lpstr>rx_rm_fifo_min_coeff</vt:lpstr>
      <vt:lpstr>rx_upsampler_add</vt:lpstr>
      <vt:lpstr>rx_upsampler_coeff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Gogineni, Dharmik</dc:creator>
  <cp:keywords/>
  <dc:description/>
  <cp:lastModifiedBy>Gogineni, Dharmik</cp:lastModifiedBy>
  <cp:revision/>
  <dcterms:created xsi:type="dcterms:W3CDTF">2021-11-28T13:59:45Z</dcterms:created>
  <dcterms:modified xsi:type="dcterms:W3CDTF">2024-04-18T10:12:54Z</dcterms:modified>
  <cp:category/>
  <cp:contentStatus/>
</cp:coreProperties>
</file>